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astasia/Downloads/JEME/"/>
    </mc:Choice>
  </mc:AlternateContent>
  <xr:revisionPtr revIDLastSave="0" documentId="8_{E2D865D7-3F1C-054E-A714-BBCE0A74778B}" xr6:coauthVersionLast="47" xr6:coauthVersionMax="47" xr10:uidLastSave="{00000000-0000-0000-0000-000000000000}"/>
  <bookViews>
    <workbookView xWindow="0" yWindow="600" windowWidth="25600" windowHeight="13700" xr2:uid="{E9481E57-E241-D846-A36F-A000469EE98E}"/>
  </bookViews>
  <sheets>
    <sheet name="New Alumni DB" sheetId="8" r:id="rId1"/>
    <sheet name="People to contact" sheetId="6" state="hidden" r:id="rId2"/>
    <sheet name="TMP" sheetId="4" state="hidden" r:id="rId3"/>
    <sheet name="Mesi" sheetId="3" state="hidden" r:id="rId4"/>
    <sheet name="Industries" sheetId="2" state="hidden" r:id="rId5"/>
  </sheets>
  <definedNames>
    <definedName name="_xlnm._FilterDatabase" localSheetId="0" hidden="1">'New Alumni DB'!$B$1:$AJ$629</definedName>
    <definedName name="_xlnm._FilterDatabase" localSheetId="1" hidden="1">'People to contact'!$B$2:$K$86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7" i="6" l="1"/>
  <c r="E77" i="6"/>
  <c r="D78" i="6"/>
  <c r="E78" i="6"/>
  <c r="D79" i="6"/>
  <c r="E79" i="6"/>
  <c r="D80" i="6"/>
  <c r="E80" i="6"/>
  <c r="D81" i="6"/>
  <c r="E81" i="6"/>
  <c r="D82" i="6"/>
  <c r="E82" i="6"/>
  <c r="D83" i="6"/>
  <c r="E83" i="6"/>
  <c r="D84" i="6"/>
  <c r="E84" i="6"/>
  <c r="D85" i="6"/>
  <c r="E85" i="6"/>
  <c r="H88" i="6"/>
  <c r="E68" i="6"/>
  <c r="E69" i="6"/>
  <c r="E70" i="6"/>
  <c r="E71" i="6"/>
  <c r="E72" i="6"/>
  <c r="E73" i="6"/>
  <c r="E74" i="6"/>
  <c r="E75" i="6"/>
  <c r="D68" i="6"/>
  <c r="D69" i="6"/>
  <c r="D70" i="6"/>
  <c r="D71" i="6"/>
  <c r="D72" i="6"/>
  <c r="D73" i="6"/>
  <c r="D74" i="6"/>
  <c r="D75" i="6"/>
  <c r="E76" i="6"/>
  <c r="E86" i="6"/>
  <c r="D76" i="6"/>
  <c r="D8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11" i="6"/>
  <c r="D28" i="6"/>
  <c r="D29" i="6"/>
  <c r="D30" i="6"/>
  <c r="D31" i="6"/>
  <c r="D32" i="6"/>
  <c r="D33" i="6"/>
  <c r="E28" i="6"/>
  <c r="E29" i="6"/>
  <c r="E30" i="6"/>
  <c r="E31" i="6"/>
  <c r="E32" i="6"/>
  <c r="E33" i="6"/>
  <c r="D22" i="6"/>
  <c r="D23" i="6"/>
  <c r="D24" i="6"/>
  <c r="D25" i="6"/>
  <c r="D26" i="6"/>
  <c r="D27" i="6"/>
  <c r="E26" i="6"/>
  <c r="E27" i="6"/>
  <c r="G88" i="6"/>
  <c r="F88" i="6"/>
  <c r="D13" i="6"/>
  <c r="D14" i="6"/>
  <c r="D15" i="6"/>
  <c r="D16" i="6"/>
  <c r="D17" i="6"/>
  <c r="D18" i="6"/>
  <c r="D19" i="6"/>
  <c r="D20" i="6"/>
  <c r="D21" i="6"/>
  <c r="D4" i="6"/>
  <c r="D5" i="6"/>
  <c r="D6" i="6"/>
  <c r="D7" i="6"/>
  <c r="D8" i="6"/>
  <c r="D9" i="6"/>
  <c r="D10" i="6"/>
  <c r="D12" i="6"/>
  <c r="D3" i="6"/>
  <c r="G1" i="2"/>
  <c r="B51" i="2"/>
  <c r="B64" i="2"/>
  <c r="B65" i="2"/>
  <c r="B1" i="2"/>
  <c r="B2" i="2"/>
  <c r="B35" i="2"/>
  <c r="B36" i="2"/>
  <c r="B68" i="2"/>
  <c r="B80" i="2"/>
  <c r="B57" i="2"/>
  <c r="B37" i="2"/>
  <c r="B3" i="2"/>
  <c r="B67" i="2"/>
  <c r="B24" i="2"/>
  <c r="B4" i="2"/>
  <c r="B34" i="2"/>
  <c r="B11" i="2"/>
  <c r="B72" i="2"/>
  <c r="B79" i="2"/>
  <c r="B48" i="2"/>
  <c r="B5" i="2"/>
  <c r="B49" i="2"/>
  <c r="B63" i="2"/>
  <c r="B38" i="2"/>
  <c r="B33" i="2"/>
  <c r="B17" i="2"/>
  <c r="B12" i="2"/>
  <c r="B39" i="2"/>
  <c r="B66" i="2"/>
  <c r="B40" i="2"/>
  <c r="B58" i="2"/>
  <c r="B73" i="2"/>
  <c r="B22" i="2"/>
  <c r="B74" i="2"/>
  <c r="B41" i="2"/>
  <c r="B42" i="2"/>
  <c r="B43" i="2"/>
  <c r="B44" i="2"/>
  <c r="B59" i="2"/>
  <c r="B53" i="2"/>
  <c r="B13" i="2"/>
  <c r="B18" i="2"/>
  <c r="B69" i="2"/>
  <c r="B28" i="2"/>
  <c r="B78" i="2"/>
  <c r="B31" i="2"/>
  <c r="B6" i="2"/>
  <c r="B30" i="2"/>
  <c r="B75" i="2"/>
  <c r="B54" i="2"/>
  <c r="B50" i="2"/>
  <c r="B70" i="2"/>
  <c r="B7" i="2"/>
  <c r="B32" i="2"/>
  <c r="B16" i="2"/>
  <c r="B14" i="2"/>
  <c r="B21" i="2"/>
  <c r="B60" i="2"/>
  <c r="B61" i="2"/>
  <c r="B25" i="2"/>
  <c r="B45" i="2"/>
  <c r="B71" i="2"/>
  <c r="B55" i="2"/>
  <c r="B77" i="2"/>
  <c r="B8" i="2"/>
  <c r="B29" i="2"/>
  <c r="B9" i="2"/>
  <c r="B19" i="2"/>
  <c r="B20" i="2"/>
  <c r="B76" i="2"/>
  <c r="B10" i="2"/>
  <c r="B46" i="2"/>
  <c r="B62" i="2"/>
  <c r="B52" i="2"/>
  <c r="B26" i="2"/>
  <c r="B27" i="2"/>
  <c r="B23" i="2"/>
  <c r="B56" i="2"/>
  <c r="B1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tc={DF1F7913-C789-9046-867A-D682150745B9}</author>
    <author>tc={DD7B39BD-E829-A94E-ABFD-BBD32DA9E15D}</author>
    <author>tc={2796D271-8F1D-4040-B013-086DCBB1B350}</author>
    <author>tc={5D3E694C-D472-C44C-8C32-3B24F2F6D9BD}</author>
    <author>tc={30EFDCB0-1D1B-4F4F-81DB-803286FC6BA8}</author>
    <author>tc={B7C7AD8D-639B-1A40-B6D9-0028DFE92814}</author>
    <author>tc={EDEBC2A5-C47F-C447-92CF-447B841A3711}</author>
    <author>tc={3035B04F-2D5A-BD4B-AB5E-5CB8B2DBFAD0}</author>
    <author>tc={7B38ABED-D6DE-4440-B1AD-E65500913EB1}</author>
    <author>tc={7C12A17F-4160-9B42-B979-8C5500927D08}</author>
    <author>tc={0E72F1DF-E385-CD49-97F9-E24E6554AFD0}</author>
    <author>tc={B5E4904C-0F97-BB48-BE87-D0DDC22FD26C}</author>
    <author>tc={6F532689-8F17-A349-B63A-61E210DDB946}</author>
    <author>tc={886B08FA-8E43-6947-8A58-982F0F93C381}</author>
    <author>tc={6E56B350-E707-FB4F-97EB-25B18E125551}</author>
    <author>tc={6C7114C9-EDBD-4644-A945-AFABBCB4BC6B}</author>
    <author>tc={F5ABAEE9-2957-544C-8FCC-A2719BF538B7}</author>
    <author>tc={FA37057F-6CC6-4841-9F36-CA81A8430653}</author>
    <author>tc={29DB0D30-1375-9F4D-8CEA-F789B32F220D}</author>
    <author>tc={DB0EA043-3E05-5149-AF13-2EFEF9236FB6}</author>
    <author>tc={DE5A5CE7-0803-5D43-98B4-B7731B6051E6}</author>
    <author>tc={4D6C2988-CF87-F244-BACB-674DCA071399}</author>
    <author>tc={9C8053B1-F914-D34A-920A-B80215BDEAD9}</author>
    <author>tc={11B7E1FD-CE70-4548-9F2C-A3C3F2C24C1F}</author>
    <author>tc={15FCE882-A3A6-924D-BAA1-AAE180808AC7}</author>
    <author>tc={FCE54719-D22D-934E-8E11-ED2C523DB6D9}</author>
    <author>tc={369A2BD2-BFF8-4640-B648-1AA1F6790BDB}</author>
    <author>tc={9410DEA0-0BA6-E54D-A518-5F497ACD8E2C}</author>
    <author>tc={4E49069C-C967-4F9A-A94F-3CF48C8EA54F}</author>
    <author>tc={6FDD8424-FD7F-374F-AF99-19CCB990D0A2}</author>
    <author>tc={4013B61E-499F-C242-B140-23994F0AF6EB}</author>
    <author>tc={0831AC59-A6C6-F149-81E4-E18112299A2A}</author>
    <author>tc={425F3CB2-F57C-0041-9747-783E52A25669}</author>
    <author>tc={90DBFD02-DE20-114B-B7F9-22081FBBE277}</author>
    <author>tc={78643BFE-0466-C94E-8205-E8E2A97E815E}</author>
    <author>tc={C0BF1208-FE37-FC47-93C9-4B22A0722BE2}</author>
    <author>tc={275CAC87-6228-8949-9906-C0A6D46B73F8}</author>
    <author>tc={66627BDE-25DE-1C46-9EA4-60D8CC42668E}</author>
    <author>tc={92C00B3E-6F6A-904D-A158-3DA45020EDBB}</author>
    <author>tc={E8F323AB-882F-4879-827F-556269CDC9AC}</author>
    <author>tc={E90C706C-A2D3-42FA-AE73-58ADFFA67BDF}</author>
    <author>tc={0D7F7A2C-D16C-4488-B1FE-8B6543C1E4DD}</author>
    <author>tc={3E4B5ACB-12D1-43C3-AFBF-EF42F532BCBC}</author>
    <author>tc={D516165E-4D65-464A-AB25-4BC7ECA70077}</author>
    <author>tc={16DDCEBB-64FE-A54A-A21F-646013DE662A}</author>
    <author>tc={4A8CA591-1F85-5948-B9B1-39129F69CEF9}</author>
    <author>tc={206E62E8-3EE8-9448-AD74-BB38AA5FE716}</author>
    <author>tc={C3983333-EA3E-7444-858F-0AE85AAF2FB2}</author>
    <author>tc={010B9832-092F-1C45-9E0A-DE49B3D40223}</author>
    <author>tc={CD6CBAB9-078F-E445-A432-0F0FF06DDB94}</author>
    <author>tc={27A0B3D2-BCF6-4BE9-B951-7B2397FC2BF3}</author>
    <author>tc={28F683DC-EB31-4448-A02C-F11FBEF1D242}</author>
    <author>tc={C9304791-93D2-47A6-982A-1717B1FDD628}</author>
    <author>tc={3BEEAEAA-EC07-45E3-A956-FC862D290558}</author>
    <author>tc={CADCC2C1-EF92-0E4D-B716-1A39AFFBBC75}</author>
    <author>tc={9F0733AD-7E12-D542-B2F1-4D70D9B9EC68}</author>
    <author>tc={0D5604DF-ECA4-9B44-BE58-C68E137BFA2F}</author>
    <author>tc={E4511408-A473-DE4C-971F-9BB0ADC32C4D}</author>
    <author>tc={634D6153-6BA2-4C7F-B5CC-34C782CB4C4D}</author>
    <author>tc={4CB0C21F-B935-5E43-B111-F6D70C8593EC}</author>
    <author>tc={E9759F8F-4283-4B94-AC9C-B3290D8C22D6}</author>
    <author>tc={2E643F50-DB6F-D740-B778-3B006A40A45D}</author>
    <author>tc={BD42DB42-D461-5B47-BAA8-C5FB88EF875D}</author>
    <author>tc={3B1D5485-CA55-B04F-A179-360795F2CADA}</author>
    <author>tc={4382DE6D-CF5E-5041-B96A-13260CEEDEDA}</author>
    <author>tc={3451E2BA-1394-F24B-9955-B58680AE5851}</author>
    <author>tc={1197E33B-9EE7-EF4E-A802-A2755738FF1A}</author>
    <author>tc={4E046ADC-ADF6-B54F-A54B-7E059BB42011}</author>
    <author>tc={48D6E4DE-5640-AE40-AB0A-DD971973A154}</author>
    <author>tc={4C8B6415-F71C-3E4B-BE2E-82D2010193BE}</author>
    <author>tc={6F9DF312-BA71-224E-9AA6-BB949712221C}</author>
    <author>tc={317AA926-3F40-7848-B790-F665F6EAF117}</author>
    <author>tc={56B8352C-E61D-A047-B890-903F6A3F101A}</author>
    <author>tc={BF4C431B-8CB7-5249-8292-028AD53BFCAA}</author>
    <author>tc={33224AB1-7DCD-8A43-B3AB-499903B5622C}</author>
    <author>tc={6D52C73F-0E62-6A4E-AD6E-EE828824E245}</author>
    <author>tc={48EDF17E-42A4-2F47-80A2-06E0CB86A603}</author>
    <author>tc={41878184-C7D4-1C44-8973-D127E82105EE}</author>
    <author>tc={122C05D5-7F9A-6643-9EFD-D31C04D0083D}</author>
    <author>tc={F4E0778F-3675-154E-B68F-351036A8A030}</author>
    <author>tc={2E7F9DB0-47B2-44A4-BB2F-86C04A903DDA}</author>
    <author>tc={8BFE7622-D2EE-EA49-8397-2001BF95FB1C}</author>
    <author>tc={AD5694D0-477E-A14E-AA47-AEFCC4B9801C}</author>
    <author>tc={C18BCB44-2547-364F-B20D-C0D7F0ECE3F6}</author>
    <author>tc={28D22E4E-D479-1F4A-939E-3D9E32BF620A}</author>
    <author>tc={D26B38C2-0587-D741-BAF6-C494DBB99FD3}</author>
    <author>tc={C974E983-6299-544E-AEFB-39C9D3FB74B1}</author>
    <author>tc={39FA2538-E76C-2449-BF86-6A1AF25DA3F1}</author>
    <author>tc={6126514C-D58F-4048-925D-5EC1B70CF140}</author>
    <author>tc={1C8BD529-C2C6-FD4C-9F4D-9BD4582E030D}</author>
    <author>tc={FDFC2B06-9B34-48D1-8ACA-E235C4611052}</author>
    <author>tc={72898B1C-1367-2A40-AA93-85329BBE7C1D}</author>
    <author>tc={EDBE8BE2-C508-4997-BFA0-0E8B648DAE7F}</author>
    <author>tc={7EBBBD4C-18F4-4954-A393-F5A4D0C6172A}</author>
    <author>tc={DC60229C-F3E9-5747-A738-4ED33CAE7AA8}</author>
    <author>tc={DA2C29DB-5580-4D5D-A9C4-C2F94EB21DFE}</author>
    <author>tc={E073BFFB-F36F-E242-BB0E-AFB315F3DD42}</author>
    <author>tc={69724771-0D5F-114A-9DB8-2CE4A449A07E}</author>
    <author>tc={A11B5194-9BE4-4BD3-B965-6F6C204DE324}</author>
    <author>tc={5DEB0A8E-79C9-0247-A472-E61932AB66CF}</author>
    <author>tc={048025B1-95B5-4741-A983-F12181E2F73F}</author>
    <author>tc={E6FCC55F-796C-4308-88F4-F2156C80B2E4}</author>
    <author>tc={72B87889-178F-C041-88BE-6B0C302B2AAF}</author>
    <author>tc={2F28B8E7-02A3-B942-AC32-A2FDA8B4EB60}</author>
    <author>tc={BA897D2A-A38A-8944-B865-10FE5218D4F5}</author>
    <author>tc={EE640137-4848-4B9E-8DA9-61834065A8FA}</author>
    <author>tc={AA475E13-5B9E-A04A-82F0-2CCB08561880}</author>
    <author>tc={2C1634D9-8F0D-4F90-8A38-309A8AB83691}</author>
    <author>tc={8861E818-352E-4F48-B8E8-FB86A6762075}</author>
    <author>tc={2BCE4934-83E2-9745-A732-775E3385BAF9}</author>
    <author>tc={C8D6AF43-5F76-4E4F-9FCB-5CA194CEB691}</author>
  </authors>
  <commentList>
    <comment ref="AC3" authorId="0" shapeId="0" xr:uid="{DF1F7913-C789-9046-867A-D682150745B9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feb 2022 - mar 2023</t>
      </text>
    </comment>
    <comment ref="AC14" authorId="1" shapeId="0" xr:uid="{DD7B39BD-E829-A94E-ABFD-BBD32DA9E15D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oct 2022 - sept 2025</t>
      </text>
    </comment>
    <comment ref="B18" authorId="2" shapeId="0" xr:uid="{2796D271-8F1D-4040-B013-086DCBB1B350}">
      <text>
        <t>[Threaded comment]
Your version of Excel allows you to read this threaded comment; however, any edits to it will get removed if the file is opened in a newer version of Excel. Learn more: https://go.microsoft.com/fwlink/?linkid=870924
Comment:
    Her JEME number is 131</t>
      </text>
    </comment>
    <comment ref="N25" authorId="3" shapeId="0" xr:uid="{5D3E694C-D472-C44C-8C32-3B24F2F6D9BD}">
      <text>
        <t>[Threaded comment]
Your version of Excel allows you to read this threaded comment; however, any edits to it will get removed if the file is opened in a newer version of Excel. Learn more: https://go.microsoft.com/fwlink/?linkid=870924
Comment:
    Middle?
Reply:
    In the others coloumns vice president is a C-Level but IDK</t>
      </text>
    </comment>
    <comment ref="AC26" authorId="4" shapeId="0" xr:uid="{30EFDCB0-1D1B-4F4F-81DB-803286FC6BA8}">
      <text>
        <t>[Threaded comment]
Your version of Excel allows you to read this threaded comment; however, any edits to it will get removed if the file is opened in a newer version of Excel. Learn more: https://go.microsoft.com/fwlink/?linkid=870924
Comment:
    He studied at Bocconi around 2019-2020 but the correct date is not avaiable</t>
      </text>
    </comment>
    <comment ref="AC27" authorId="5" shapeId="0" xr:uid="{B7C7AD8D-639B-1A40-B6D9-0028DFE92814}">
      <text>
        <t>[Threaded comment]
Your version of Excel allows you to read this threaded comment; however, any edits to it will get removed if the file is opened in a newer version of Excel. Learn more: https://go.microsoft.com/fwlink/?linkid=870924
Comment:
    10/01/2021 - 01/01/2023</t>
      </text>
    </comment>
    <comment ref="AC29" authorId="6" shapeId="0" xr:uid="{EDEBC2A5-C47F-C447-92CF-447B841A3711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oct 2022 - jun 2025</t>
      </text>
    </comment>
    <comment ref="AD31" authorId="7" shapeId="0" xr:uid="{3035B04F-2D5A-BD4B-AB5E-5CB8B2DBFAD0}">
      <text>
        <t>[Threaded comment]
Your version of Excel allows you to read this threaded comment; however, any edits to it will get removed if the file is opened in a newer version of Excel. Learn more: https://go.microsoft.com/fwlink/?linkid=870924
Comment:
    When did she leave JEME?</t>
      </text>
    </comment>
    <comment ref="AC45" authorId="8" shapeId="0" xr:uid="{7B38ABED-D6DE-4440-B1AD-E65500913EB1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oct 2022 - aug 2025</t>
      </text>
    </comment>
    <comment ref="AC71" authorId="9" shapeId="0" xr:uid="{7C12A17F-4160-9B42-B979-8C5500927D0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03/01/2008 - 10/01/2010
</t>
      </text>
    </comment>
    <comment ref="AC78" authorId="10" shapeId="0" xr:uid="{0E72F1DF-E385-CD49-97F9-E24E6554AFD0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oct 2022 - sept 2025</t>
      </text>
    </comment>
    <comment ref="AC88" authorId="11" shapeId="0" xr:uid="{B5E4904C-0F97-BB48-BE87-D0DDC22FD26C}">
      <text>
        <t>[Threaded comment]
Your version of Excel allows you to read this threaded comment; however, any edits to it will get removed if the file is opened in a newer version of Excel. Learn more: https://go.microsoft.com/fwlink/?linkid=870924
Comment:
    10/01/2002 - 12/01/2004</t>
      </text>
    </comment>
    <comment ref="AC92" authorId="12" shapeId="0" xr:uid="{6F532689-8F17-A349-B63A-61E210DDB946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jun 2020 - feb 2023</t>
      </text>
    </comment>
    <comment ref="AC102" authorId="13" shapeId="0" xr:uid="{886B08FA-8E43-6947-8A58-982F0F93C381}">
      <text>
        <t>[Threaded comment]
Your version of Excel allows you to read this threaded comment; however, any edits to it will get removed if the file is opened in a newer version of Excel. Learn more: https://go.microsoft.com/fwlink/?linkid=870924
Comment:
    She studied at bocconi from 2016 to 2020, but the date in which she joined JEME is not avaiable</t>
      </text>
    </comment>
    <comment ref="AC109" authorId="14" shapeId="0" xr:uid="{6E56B350-E707-FB4F-97EB-25B18E125551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feb 2024 - jun 2025</t>
      </text>
    </comment>
    <comment ref="N110" authorId="15" shapeId="0" xr:uid="{6C7114C9-EDBD-4644-A945-AFABBCB4BC6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Considering she graduated in 2003, Id say its more C-level
</t>
      </text>
    </comment>
    <comment ref="AC112" authorId="16" shapeId="0" xr:uid="{F5ABAEE9-2957-544C-8FCC-A2719BF538B7}">
      <text>
        <t>[Threaded comment]
Your version of Excel allows you to read this threaded comment; however, any edits to it will get removed if the file is opened in a newer version of Excel. Learn more: https://go.microsoft.com/fwlink/?linkid=870924
Comment:
    2015 not 2016</t>
      </text>
    </comment>
    <comment ref="AC115" authorId="17" shapeId="0" xr:uid="{FA37057F-6CC6-4841-9F36-CA81A8430653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June 2022 - August 2024</t>
      </text>
    </comment>
    <comment ref="AD117" authorId="18" shapeId="0" xr:uid="{29DB0D30-1375-9F4D-8CEA-F789B32F220D}">
      <text>
        <t>[Threaded comment]
Your version of Excel allows you to read this threaded comment; however, any edits to it will get removed if the file is opened in a newer version of Excel. Learn more: https://go.microsoft.com/fwlink/?linkid=870924
Comment:
    2010 not 2007</t>
      </text>
    </comment>
    <comment ref="AC122" authorId="19" shapeId="0" xr:uid="{DB0EA043-3E05-5149-AF13-2EFEF9236FB6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oct 2021 - oct 2023</t>
      </text>
    </comment>
    <comment ref="AC129" authorId="20" shapeId="0" xr:uid="{DE5A5CE7-0803-5D43-98B4-B7731B6051E6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mar 2023 - jan 2025</t>
      </text>
    </comment>
    <comment ref="AC133" authorId="21" shapeId="0" xr:uid="{4D6C2988-CF87-F244-BACB-674DCA07139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Year entry was 2002 in the books
</t>
      </text>
    </comment>
    <comment ref="AC160" authorId="22" shapeId="0" xr:uid="{9C8053B1-F914-D34A-920A-B80215BDEAD9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sep 2023 - sep 2025</t>
      </text>
    </comment>
    <comment ref="AD167" authorId="23" shapeId="0" xr:uid="{11B7E1FD-CE70-4548-9F2C-A3C3F2C24C1F}">
      <text>
        <t>[Threaded comment]
Your version of Excel allows you to read this threaded comment; however, any edits to it will get removed if the file is opened in a newer version of Excel. Learn more: https://go.microsoft.com/fwlink/?linkid=870924
Comment:
    June 2020</t>
      </text>
    </comment>
    <comment ref="AC168" authorId="24" shapeId="0" xr:uid="{15FCE882-A3A6-924D-BAA1-AAE180808AC7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sec 2022 - jun 2025</t>
      </text>
    </comment>
    <comment ref="AC179" authorId="25" shapeId="0" xr:uid="{FCE54719-D22D-934E-8E11-ED2C523DB6D9}">
      <text>
        <t>[Threaded comment]
Your version of Excel allows you to read this threaded comment; however, any edits to it will get removed if the file is opened in a newer version of Excel. Learn more: https://go.microsoft.com/fwlink/?linkid=870924
Comment:
    I find it on LinkedIn 
Mar 2005 - Feb 2008</t>
      </text>
    </comment>
    <comment ref="AC188" authorId="26" shapeId="0" xr:uid="{369A2BD2-BFF8-4640-B648-1AA1F6790BD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LinkedIn experience section has the dates</t>
      </text>
    </comment>
    <comment ref="AC190" authorId="27" shapeId="0" xr:uid="{9410DEA0-0BA6-E54D-A518-5F497ACD8E2C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mar 2020 - dic 2023</t>
      </text>
    </comment>
    <comment ref="AC191" authorId="28" shapeId="0" xr:uid="{4E49069C-C967-4F9A-A94F-3CF48C8EA54F}">
      <text>
        <t>[Threaded comment]
Your version of Excel allows you to read this threaded comment; however, any edits to it will get removed if the file is opened in a newer version of Excel. Learn more: https://go.microsoft.com/fwlink/?linkid=870924
Comment:
    2020</t>
      </text>
    </comment>
    <comment ref="AD194" authorId="29" shapeId="0" xr:uid="{6FDD8424-FD7F-374F-AF99-19CCB990D0A2}">
      <text>
        <t>[Threaded comment]
Your version of Excel allows you to read this threaded comment; however, any edits to it will get removed if the file is opened in a newer version of Excel. Learn more: https://go.microsoft.com/fwlink/?linkid=870924
Comment:
    2006 not 2007</t>
      </text>
    </comment>
    <comment ref="AC199" authorId="30" shapeId="0" xr:uid="{4013B61E-499F-C242-B140-23994F0AF6EB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feb 2021 - jan 2023</t>
      </text>
    </comment>
    <comment ref="AD202" authorId="31" shapeId="0" xr:uid="{0831AC59-A6C6-F149-81E4-E18112299A2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 LinkedIn it is written May 2005
</t>
      </text>
    </comment>
    <comment ref="AC204" authorId="32" shapeId="0" xr:uid="{425F3CB2-F57C-0041-9747-783E52A25669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feb 2023 - jun 2024</t>
      </text>
    </comment>
    <comment ref="AC205" authorId="33" shapeId="0" xr:uid="{90DBFD02-DE20-114B-B7F9-22081FBBE277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oct 2021 - feb 2024</t>
      </text>
    </comment>
    <comment ref="AD210" authorId="34" shapeId="0" xr:uid="{78643BFE-0466-C94E-8205-E8E2A97E815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Probably until 1995, that’s when she graduated
</t>
      </text>
    </comment>
    <comment ref="AD211" authorId="35" shapeId="0" xr:uid="{C0BF1208-FE37-FC47-93C9-4B22A0722BE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2018
</t>
      </text>
    </comment>
    <comment ref="AC213" authorId="36" shapeId="0" xr:uid="{275CAC87-6228-8949-9906-C0A6D46B73F8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jun 2023 - jun 2025</t>
      </text>
    </comment>
    <comment ref="AC229" authorId="37" shapeId="0" xr:uid="{66627BDE-25DE-1C46-9EA4-60D8CC42668E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jan 2021 - apr 2022</t>
      </text>
    </comment>
    <comment ref="N234" authorId="38" shapeId="0" xr:uid="{92C00B3E-6F6A-904D-A158-3DA45020EDBB}">
      <text>
        <t>[Threaded comment]
Your version of Excel allows you to read this threaded comment; however, any edits to it will get removed if the file is opened in a newer version of Excel. Learn more: https://go.microsoft.com/fwlink/?linkid=870924
Comment:
    C level</t>
      </text>
    </comment>
    <comment ref="AC235" authorId="39" shapeId="0" xr:uid="{E8F323AB-882F-4879-827F-556269CDC9AC}">
      <text>
        <t>[Threaded comment]
Your version of Excel allows you to read this threaded comment; however, any edits to it will get removed if the file is opened in a newer version of Excel. Learn more: https://go.microsoft.com/fwlink/?linkid=870924
Comment:
    2018-2022</t>
      </text>
    </comment>
    <comment ref="AD238" authorId="40" shapeId="0" xr:uid="{E90C706C-A2D3-42FA-AE73-58ADFFA67BDF}">
      <text>
        <t>[Threaded comment]
Your version of Excel allows you to read this threaded comment; however, any edits to it will get removed if the file is opened in a newer version of Excel. Learn more: https://go.microsoft.com/fwlink/?linkid=870924
Comment:
    April 1st, 2022</t>
      </text>
    </comment>
    <comment ref="AC244" authorId="41" shapeId="0" xr:uid="{0D7F7A2C-D16C-4488-B1FE-8B6543C1E4DD}">
      <text>
        <t>[Threaded comment]
Your version of Excel allows you to read this threaded comment; however, any edits to it will get removed if the file is opened in a newer version of Excel. Learn more: https://go.microsoft.com/fwlink/?linkid=870924
Comment:
    November 1st, 2019</t>
      </text>
    </comment>
    <comment ref="AD244" authorId="42" shapeId="0" xr:uid="{3E4B5ACB-12D1-43C3-AFBF-EF42F532BCBC}">
      <text>
        <t>[Threaded comment]
Your version of Excel allows you to read this threaded comment; however, any edits to it will get removed if the file is opened in a newer version of Excel. Learn more: https://go.microsoft.com/fwlink/?linkid=870924
Comment:
    September 1st, 2020</t>
      </text>
    </comment>
    <comment ref="AC250" authorId="43" shapeId="0" xr:uid="{D516165E-4D65-464A-AB25-4BC7ECA70077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jan 2022 - sep 2024</t>
      </text>
    </comment>
    <comment ref="AC257" authorId="44" shapeId="0" xr:uid="{16DDCEBB-64FE-A54A-A21F-646013DE662A}">
      <text>
        <t>[Threaded comment]
Your version of Excel allows you to read this threaded comment; however, any edits to it will get removed if the file is opened in a newer version of Excel. Learn more: https://go.microsoft.com/fwlink/?linkid=870924
Comment:
    1996 not just 1997</t>
      </text>
    </comment>
    <comment ref="AC262" authorId="45" shapeId="0" xr:uid="{4A8CA591-1F85-5948-B9B1-39129F69CEF9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mar 2022 - jan 2024</t>
      </text>
    </comment>
    <comment ref="AD270" authorId="46" shapeId="0" xr:uid="{206E62E8-3EE8-9448-AD74-BB38AA5FE716}">
      <text>
        <t>[Threaded comment]
Your version of Excel allows you to read this threaded comment; however, any edits to it will get removed if the file is opened in a newer version of Excel. Learn more: https://go.microsoft.com/fwlink/?linkid=870924
Comment:
    Oct 2018</t>
      </text>
    </comment>
    <comment ref="AC272" authorId="47" shapeId="0" xr:uid="{C3983333-EA3E-7444-858F-0AE85AAF2FB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 found it on LinkedIn: mar 2022 - sep 2024
</t>
      </text>
    </comment>
    <comment ref="AC274" authorId="48" shapeId="0" xr:uid="{010B9832-092F-1C45-9E0A-DE49B3D40223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Inconsistent Formatting, stick to mm/dd/yyyy</t>
      </text>
    </comment>
    <comment ref="AD274" authorId="49" shapeId="0" xr:uid="{CD6CBAB9-078F-E445-A432-0F0FF06DDB94}">
      <text>
        <t>[Threaded comment]
Your version of Excel allows you to read this threaded comment; however, any edits to it will get removed if the file is opened in a newer version of Excel. Learn more: https://go.microsoft.com/fwlink/?linkid=870924
Comment:
    2007</t>
      </text>
    </comment>
    <comment ref="AC294" authorId="50" shapeId="0" xr:uid="{27A0B3D2-BCF6-4BE9-B951-7B2397FC2BF3}">
      <text>
        <t>[Threaded comment]
Your version of Excel allows you to read this threaded comment; however, any edits to it will get removed if the file is opened in a newer version of Excel. Learn more: https://go.microsoft.com/fwlink/?linkid=870924
Comment:
    Are we sure? He put it under his master’s only, which began in 2019
Reply:
    It was already there</t>
      </text>
    </comment>
    <comment ref="AC301" authorId="51" shapeId="0" xr:uid="{28F683DC-EB31-4448-A02C-F11FBEF1D242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mar 2021 - apr 2023</t>
      </text>
    </comment>
    <comment ref="AC307" authorId="52" shapeId="0" xr:uid="{C9304791-93D2-47A6-982A-1717B1FDD628}">
      <text>
        <t>[Threaded comment]
Your version of Excel allows you to read this threaded comment; however, any edits to it will get removed if the file is opened in a newer version of Excel. Learn more: https://go.microsoft.com/fwlink/?linkid=870924
Comment:
    2019-2021</t>
      </text>
    </comment>
    <comment ref="AD312" authorId="53" shapeId="0" xr:uid="{3BEEAEAA-EC07-45E3-A956-FC862D290558}">
      <text>
        <t>[Threaded comment]
Your version of Excel allows you to read this threaded comment; however, any edits to it will get removed if the file is opened in a newer version of Excel. Learn more: https://go.microsoft.com/fwlink/?linkid=870924
Comment:
    She graduated in 2003</t>
      </text>
    </comment>
    <comment ref="N320" authorId="54" shapeId="0" xr:uid="{CADCC2C1-EF92-0E4D-B716-1A39AFFBBC7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 Level
</t>
      </text>
    </comment>
    <comment ref="AC321" authorId="55" shapeId="0" xr:uid="{9F0733AD-7E12-D542-B2F1-4D70D9B9EC68}">
      <text>
        <t>[Threaded comment]
Your version of Excel allows you to read this threaded comment; however, any edits to it will get removed if the file is opened in a newer version of Excel. Learn more: https://go.microsoft.com/fwlink/?linkid=870924
Comment:
    12/01/2012 - 12/01/2016</t>
      </text>
    </comment>
    <comment ref="AD327" authorId="56" shapeId="0" xr:uid="{0D5604DF-ECA4-9B44-BE58-C68E137BFA2F}">
      <text>
        <t>[Threaded comment]
Your version of Excel allows you to read this threaded comment; however, any edits to it will get removed if the file is opened in a newer version of Excel. Learn more: https://go.microsoft.com/fwlink/?linkid=870924
Comment:
    2021</t>
      </text>
    </comment>
    <comment ref="AC328" authorId="57" shapeId="0" xr:uid="{E4511408-A473-DE4C-971F-9BB0ADC32C4D}">
      <text>
        <t>[Threaded comment]
Your version of Excel allows you to read this threaded comment; however, any edits to it will get removed if the file is opened in a newer version of Excel. Learn more: https://go.microsoft.com/fwlink/?linkid=870924
Comment:
    01/01/2019 - 12/01/2021</t>
      </text>
    </comment>
    <comment ref="AC348" authorId="58" shapeId="0" xr:uid="{634D6153-6BA2-4C7F-B5CC-34C782CB4C4D}">
      <text>
        <t>[Threaded comment]
Your version of Excel allows you to read this threaded comment; however, any edits to it will get removed if the file is opened in a newer version of Excel. Learn more: https://go.microsoft.com/fwlink/?linkid=870924
Comment:
    2018-2020, under his volunteering on linkedin</t>
      </text>
    </comment>
    <comment ref="AC359" authorId="59" shapeId="0" xr:uid="{4CB0C21F-B935-5E43-B111-F6D70C8593EC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mar 2022 - mar 2023</t>
      </text>
    </comment>
    <comment ref="AJ375" authorId="60" shapeId="0" xr:uid="{E9759F8F-4283-4B94-AC9C-B3290D8C22D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found in Alumni Book so dates of entry are unknown (Should be between 2013-2018 as this was time period she attended Bocconi)</t>
      </text>
    </comment>
    <comment ref="AC381" authorId="61" shapeId="0" xr:uid="{2E643F50-DB6F-D740-B778-3B006A40A45D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sep 2022 - may 2025</t>
      </text>
    </comment>
    <comment ref="AC385" authorId="62" shapeId="0" xr:uid="{BD42DB42-D461-5B47-BAA8-C5FB88EF875D}">
      <text>
        <t>[Threaded comment]
Your version of Excel allows you to read this threaded comment; however, any edits to it will get removed if the file is opened in a newer version of Excel. Learn more: https://go.microsoft.com/fwlink/?linkid=870924
Comment:
    03/01/2020 - 06/01/2022</t>
      </text>
    </comment>
    <comment ref="AC386" authorId="63" shapeId="0" xr:uid="{3B1D5485-CA55-B04F-A179-360795F2CAD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Found it on LinkedIn
Reply:
    01/03/22
01/04/24
</t>
      </text>
    </comment>
    <comment ref="AC396" authorId="64" shapeId="0" xr:uid="{4382DE6D-CF5E-5041-B96A-13260CEEDEDA}">
      <text>
        <t>[Threaded comment]
Your version of Excel allows you to read this threaded comment; however, any edits to it will get removed if the file is opened in a newer version of Excel. Learn more: https://go.microsoft.com/fwlink/?linkid=870924
Comment:
    10/01/2012 - 06/01/2015</t>
      </text>
    </comment>
    <comment ref="AC408" authorId="65" shapeId="0" xr:uid="{3451E2BA-1394-F24B-9955-B58680AE585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probably wrong
</t>
      </text>
    </comment>
    <comment ref="AC410" authorId="66" shapeId="0" xr:uid="{1197E33B-9EE7-EF4E-A802-A2755738FF1A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might not be the appropriate dates, her name is not mentioned in the alumni list until 2014</t>
      </text>
    </comment>
    <comment ref="AC415" authorId="67" shapeId="0" xr:uid="{4E046ADC-ADF6-B54F-A54B-7E059BB42011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nov 2023 - feb 2025</t>
      </text>
    </comment>
    <comment ref="AC418" authorId="68" shapeId="0" xr:uid="{48D6E4DE-5640-AE40-AB0A-DD971973A154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oct 2022 - jul 2024</t>
      </text>
    </comment>
    <comment ref="AC419" authorId="69" shapeId="0" xr:uid="{4C8B6415-F71C-3E4B-BE2E-82D2010193BE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jun 2022 - jun 2024</t>
      </text>
    </comment>
    <comment ref="B424" authorId="70" shapeId="0" xr:uid="{6F9DF312-BA71-224E-9AA6-BB949712221C}">
      <text>
        <t>[Threaded comment]
Your version of Excel allows you to read this threaded comment; however, any edits to it will get removed if the file is opened in a newer version of Excel. Learn more: https://go.microsoft.com/fwlink/?linkid=870924
Comment:
    Is 243</t>
      </text>
    </comment>
    <comment ref="AC426" authorId="71" shapeId="0" xr:uid="{317AA926-3F40-7848-B790-F665F6EAF117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jun 2023 - apr 2025</t>
      </text>
    </comment>
    <comment ref="AC433" authorId="72" shapeId="0" xr:uid="{56B8352C-E61D-A047-B890-903F6A3F101A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jan 2024 - sept 2025</t>
      </text>
    </comment>
    <comment ref="AC436" authorId="73" shapeId="0" xr:uid="{BF4C431B-8CB7-5249-8292-028AD53BFCAA}">
      <text>
        <t>[Threaded comment]
Your version of Excel allows you to read this threaded comment; however, any edits to it will get removed if the file is opened in a newer version of Excel. Learn more: https://go.microsoft.com/fwlink/?linkid=870924
Comment:
    I find it on LinkedIn 
Ott 2022 - presente</t>
      </text>
    </comment>
    <comment ref="AD439" authorId="74" shapeId="0" xr:uid="{33224AB1-7DCD-8A43-B3AB-499903B5622C}">
      <text>
        <t>[Threaded comment]
Your version of Excel allows you to read this threaded comment; however, any edits to it will get removed if the file is opened in a newer version of Excel. Learn more: https://go.microsoft.com/fwlink/?linkid=870924
Comment:
    When did he left JEME?</t>
      </text>
    </comment>
    <comment ref="AD440" authorId="75" shapeId="0" xr:uid="{6D52C73F-0E62-6A4E-AD6E-EE828824E245}">
      <text>
        <t>[Threaded comment]
Your version of Excel allows you to read this threaded comment; however, any edits to it will get removed if the file is opened in a newer version of Excel. Learn more: https://go.microsoft.com/fwlink/?linkid=870924
Comment:
    In which year he left JEME?</t>
      </text>
    </comment>
    <comment ref="AC441" authorId="76" shapeId="0" xr:uid="{48EDF17E-42A4-2F47-80A2-06E0CB86A603}">
      <text>
        <t>[Threaded comment]
Your version of Excel allows you to read this threaded comment; however, any edits to it will get removed if the file is opened in a newer version of Excel. Learn more: https://go.microsoft.com/fwlink/?linkid=870924
Comment:
    On LinkedIn it says 2018-2018, I suppose he started 2018, seeing he was also a President</t>
      </text>
    </comment>
    <comment ref="AC443" authorId="77" shapeId="0" xr:uid="{41878184-C7D4-1C44-8973-D127E82105EE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feb 2021 - jul 2023</t>
      </text>
    </comment>
    <comment ref="AC450" authorId="78" shapeId="0" xr:uid="{122C05D5-7F9A-6643-9EFD-D31C04D0083D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feb 2020 - oct 2023</t>
      </text>
    </comment>
    <comment ref="AD457" authorId="79" shapeId="0" xr:uid="{F4E0778F-3675-154E-B68F-351036A8A030}">
      <text>
        <t>[Threaded comment]
Your version of Excel allows you to read this threaded comment; however, any edits to it will get removed if the file is opened in a newer version of Excel. Learn more: https://go.microsoft.com/fwlink/?linkid=870924
Comment:
    In which year he left JEME?</t>
      </text>
    </comment>
    <comment ref="B466" authorId="80" shapeId="0" xr:uid="{2E7F9DB0-47B2-44A4-BB2F-86C04A903DDA}">
      <text>
        <t>[Threaded comment]
Your version of Excel allows you to read this threaded comment; however, any edits to it will get removed if the file is opened in a newer version of Excel. Learn more: https://go.microsoft.com/fwlink/?linkid=870924
Comment:
    184</t>
      </text>
    </comment>
    <comment ref="AC468" authorId="81" shapeId="0" xr:uid="{8BFE7622-D2EE-EA49-8397-2001BF95FB1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 found it on LinkedIn
Reply:
    01/02/2021
</t>
      </text>
    </comment>
    <comment ref="AD468" authorId="82" shapeId="0" xr:uid="{AD5694D0-477E-A14E-AA47-AEFCC4B9801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 estimate it through LinkedIn
Reply:
    01/01/2025
</t>
      </text>
    </comment>
    <comment ref="N470" authorId="83" shapeId="0" xr:uid="{C18BCB44-2547-364F-B20D-C0D7F0ECE3F6}">
      <text>
        <t>[Threaded comment]
Your version of Excel allows you to read this threaded comment; however, any edits to it will get removed if the file is opened in a newer version of Excel. Learn more: https://go.microsoft.com/fwlink/?linkid=870924
Comment:
    Middle?</t>
      </text>
    </comment>
    <comment ref="B471" authorId="84" shapeId="0" xr:uid="{28D22E4E-D479-1F4A-939E-3D9E32BF620A}">
      <text>
        <t>[Threaded comment]
Your version of Excel allows you to read this threaded comment; however, any edits to it will get removed if the file is opened in a newer version of Excel. Learn more: https://go.microsoft.com/fwlink/?linkid=870924
Comment:
    183</t>
      </text>
    </comment>
    <comment ref="AC486" authorId="85" shapeId="0" xr:uid="{D26B38C2-0587-D741-BAF6-C494DBB99FD3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Linkedin</t>
      </text>
    </comment>
    <comment ref="AC488" authorId="86" shapeId="0" xr:uid="{C974E983-6299-544E-AEFB-39C9D3FB74B1}">
      <text>
        <t>[Threaded comment]
Your version of Excel allows you to read this threaded comment; however, any edits to it will get removed if the file is opened in a newer version of Excel. Learn more: https://go.microsoft.com/fwlink/?linkid=870924
Comment:
    I find it on LinkedIn
01/01/2022 - 01/09/2023</t>
      </text>
    </comment>
    <comment ref="N493" authorId="87" shapeId="0" xr:uid="{39FA2538-E76C-2449-BF86-6A1AF25DA3F1}">
      <text>
        <t>[Threaded comment]
Your version of Excel allows you to read this threaded comment; however, any edits to it will get removed if the file is opened in a newer version of Excel. Learn more: https://go.microsoft.com/fwlink/?linkid=870924
Comment:
    I would assume that it is a middle seniority role not a C level. Are we sure that it can be considered as a C level?</t>
      </text>
    </comment>
    <comment ref="B499" authorId="88" shapeId="0" xr:uid="{6126514C-D58F-4048-925D-5EC1B70CF140}">
      <text>
        <t>[Threaded comment]
Your version of Excel allows you to read this threaded comment; however, any edits to it will get removed if the file is opened in a newer version of Excel. Learn more: https://go.microsoft.com/fwlink/?linkid=870924
Comment:
    359</t>
      </text>
    </comment>
    <comment ref="AC509" authorId="89" shapeId="0" xr:uid="{1C8BD529-C2C6-FD4C-9F4D-9BD4582E030D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2020 - 2025</t>
      </text>
    </comment>
    <comment ref="AD510" authorId="90" shapeId="0" xr:uid="{FDFC2B06-9B34-48D1-8ACA-E235C4611052}">
      <text>
        <t>[Threaded comment]
Your version of Excel allows you to read this threaded comment; however, any edits to it will get removed if the file is opened in a newer version of Excel. Learn more: https://go.microsoft.com/fwlink/?linkid=870924
Comment:
    2023</t>
      </text>
    </comment>
    <comment ref="AC514" authorId="91" shapeId="0" xr:uid="{72898B1C-1367-2A40-AA93-85329BBE7C1D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oct 2023 - jun 2025</t>
      </text>
    </comment>
    <comment ref="AC515" authorId="92" shapeId="0" xr:uid="{EDBE8BE2-C508-4997-BFA0-0E8B648DAE7F}">
      <text>
        <t>[Threaded comment]
Your version of Excel allows you to read this threaded comment; however, any edits to it will get removed if the file is opened in a newer version of Excel. Learn more: https://go.microsoft.com/fwlink/?linkid=870924
Comment:
    2018</t>
      </text>
    </comment>
    <comment ref="AD515" authorId="93" shapeId="0" xr:uid="{7EBBBD4C-18F4-4954-A393-F5A4D0C6172A}">
      <text>
        <t>[Threaded comment]
Your version of Excel allows you to read this threaded comment; however, any edits to it will get removed if the file is opened in a newer version of Excel. Learn more: https://go.microsoft.com/fwlink/?linkid=870924
Comment:
    2022</t>
      </text>
    </comment>
    <comment ref="AC519" authorId="94" shapeId="0" xr:uid="{DC60229C-F3E9-5747-A738-4ED33CAE7AA8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jun 2022 - dic 2023</t>
      </text>
    </comment>
    <comment ref="N527" authorId="95" shapeId="0" xr:uid="{DA2C29DB-5580-4D5D-A9C4-C2F94EB21DFE}">
      <text>
        <t>[Threaded comment]
Your version of Excel allows you to read this threaded comment; however, any edits to it will get removed if the file is opened in a newer version of Excel. Learn more: https://go.microsoft.com/fwlink/?linkid=870924
Comment:
    Middle Level</t>
      </text>
    </comment>
    <comment ref="AD532" authorId="96" shapeId="0" xr:uid="{E073BFFB-F36F-E242-BB0E-AFB315F3DD42}">
      <text>
        <t>[Threaded comment]
Your version of Excel allows you to read this threaded comment; however, any edits to it will get removed if the file is opened in a newer version of Excel. Learn more: https://go.microsoft.com/fwlink/?linkid=870924
Comment:
    I could not find another Roberta Nembri, and she has JEME on her LinkedIN, however the dates in the alumni book and her bocconi degree do not add up.</t>
      </text>
    </comment>
    <comment ref="AC545" authorId="97" shapeId="0" xr:uid="{69724771-0D5F-114A-9DB8-2CE4A449A07E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mar 2022 - jul 2024</t>
      </text>
    </comment>
    <comment ref="AD547" authorId="98" shapeId="0" xr:uid="{A11B5194-9BE4-4BD3-B965-6F6C204DE32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might be the end period (year she finished her degree at Bocconi). Entry was in 1991, per the book. </t>
      </text>
    </comment>
    <comment ref="AC551" authorId="99" shapeId="0" xr:uid="{5DEB0A8E-79C9-0247-A472-E61932AB66CF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oct 2021 - oct 2024</t>
      </text>
    </comment>
    <comment ref="B554" authorId="100" shapeId="0" xr:uid="{048025B1-95B5-4741-A983-F12181E2F73F}">
      <text>
        <t>[Threaded comment]
Your version of Excel allows you to read this threaded comment; however, any edits to it will get removed if the file is opened in a newer version of Excel. Learn more: https://go.microsoft.com/fwlink/?linkid=870924
Comment:
    344</t>
      </text>
    </comment>
    <comment ref="AC554" authorId="101" shapeId="0" xr:uid="{E6FCC55F-796C-4308-88F4-F2156C80B2E4}">
      <text>
        <t>[Threaded comment]
Your version of Excel allows you to read this threaded comment; however, any edits to it will get removed if the file is opened in a newer version of Excel. Learn more: https://go.microsoft.com/fwlink/?linkid=870924
Comment:
    2011</t>
      </text>
    </comment>
    <comment ref="AC555" authorId="102" shapeId="0" xr:uid="{72B87889-178F-C041-88BE-6B0C302B2AAF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oct 2022 - jul 2024</t>
      </text>
    </comment>
    <comment ref="B576" authorId="103" shapeId="0" xr:uid="{2F28B8E7-02A3-B942-AC32-A2FDA8B4EB60}">
      <text>
        <t>[Threaded comment]
Your version of Excel allows you to read this threaded comment; however, any edits to it will get removed if the file is opened in a newer version of Excel. Learn more: https://go.microsoft.com/fwlink/?linkid=870924
Comment:
    89</t>
      </text>
    </comment>
    <comment ref="AC584" authorId="104" shapeId="0" xr:uid="{BA897D2A-A38A-8944-B865-10FE5218D4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 find it on LinkedIn 
Reply:
    01/03/23
01/06/24
</t>
      </text>
    </comment>
    <comment ref="AC589" authorId="105" shapeId="0" xr:uid="{EE640137-4848-4B9E-8DA9-61834065A8FA}">
      <text>
        <t>[Threaded comment]
Your version of Excel allows you to read this threaded comment; however, any edits to it will get removed if the file is opened in a newer version of Excel. Learn more: https://go.microsoft.com/fwlink/?linkid=870924
Comment:
    2019</t>
      </text>
    </comment>
    <comment ref="AC602" authorId="106" shapeId="0" xr:uid="{AA475E13-5B9E-A04A-82F0-2CCB08561880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oct 2022 - may 2023</t>
      </text>
    </comment>
    <comment ref="AC603" authorId="107" shapeId="0" xr:uid="{2C1634D9-8F0D-4F90-8A38-309A8AB83691}">
      <text>
        <t>[Threaded comment]
Your version of Excel allows you to read this threaded comment; however, any edits to it will get removed if the file is opened in a newer version of Excel. Learn more: https://go.microsoft.com/fwlink/?linkid=870924
Comment:
    2019-2022</t>
      </text>
    </comment>
    <comment ref="AC611" authorId="108" shapeId="0" xr:uid="{8861E818-352E-4F48-B8E8-FB86A6762075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oct 2021 - may 2023</t>
      </text>
    </comment>
    <comment ref="AC612" authorId="109" shapeId="0" xr:uid="{2BCE4934-83E2-9745-A732-775E3385BAF9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jun 2020 - jun 2022</t>
      </text>
    </comment>
    <comment ref="AC613" authorId="110" shapeId="0" xr:uid="{C8D6AF43-5F76-4E4F-9FCB-5CA194CEB691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oct 2022 - sep 2023</t>
      </text>
    </comment>
  </commentList>
</comments>
</file>

<file path=xl/sharedStrings.xml><?xml version="1.0" encoding="utf-8"?>
<sst xmlns="http://schemas.openxmlformats.org/spreadsheetml/2006/main" count="22312" uniqueCount="6289">
  <si>
    <t>Associate Number</t>
  </si>
  <si>
    <t>Surname</t>
  </si>
  <si>
    <t>First Name</t>
  </si>
  <si>
    <t>Middle Name</t>
  </si>
  <si>
    <t>Age Group</t>
  </si>
  <si>
    <t>Phone number</t>
  </si>
  <si>
    <t>Email</t>
  </si>
  <si>
    <t>Second Email</t>
  </si>
  <si>
    <t>LinkedIn</t>
  </si>
  <si>
    <t>Current Firm</t>
  </si>
  <si>
    <t>Current Role</t>
  </si>
  <si>
    <t>Current Role Seniority</t>
  </si>
  <si>
    <t>Current City</t>
  </si>
  <si>
    <t xml:space="preserve">Current Country </t>
  </si>
  <si>
    <t>Curent Industry</t>
  </si>
  <si>
    <t xml:space="preserve">Notable Past Firms </t>
  </si>
  <si>
    <t>Past Role NPF</t>
  </si>
  <si>
    <t>Starting month NPF</t>
  </si>
  <si>
    <t>Ending Month NPF</t>
  </si>
  <si>
    <t xml:space="preserve">PR City </t>
  </si>
  <si>
    <t>PR City 2</t>
  </si>
  <si>
    <t>PR City 3</t>
  </si>
  <si>
    <t>PR Country</t>
  </si>
  <si>
    <t>PR Country 2</t>
  </si>
  <si>
    <t>PR Country 3</t>
  </si>
  <si>
    <t>NPF Industry</t>
  </si>
  <si>
    <t>JEME Starting Period</t>
  </si>
  <si>
    <t>JEME Ending Period</t>
  </si>
  <si>
    <t>JEME Role</t>
  </si>
  <si>
    <t>JEME Role 2</t>
  </si>
  <si>
    <t>JEME Role 3</t>
  </si>
  <si>
    <t>Board</t>
  </si>
  <si>
    <t xml:space="preserve">Head </t>
  </si>
  <si>
    <t>Antonicelli</t>
  </si>
  <si>
    <t>Zaira</t>
  </si>
  <si>
    <t/>
  </si>
  <si>
    <t>25-30</t>
  </si>
  <si>
    <t>zairaantonicelli@gmail.com</t>
  </si>
  <si>
    <t>https://www.linkedin.com/in/zaira-antonicelli/</t>
  </si>
  <si>
    <t>Citi</t>
  </si>
  <si>
    <t>Analyst</t>
  </si>
  <si>
    <t>Middle level</t>
  </si>
  <si>
    <t>London</t>
  </si>
  <si>
    <t>GB</t>
  </si>
  <si>
    <t>Financial Services</t>
  </si>
  <si>
    <t>Startupbootcamp</t>
  </si>
  <si>
    <t>Other</t>
  </si>
  <si>
    <t>01/2020</t>
  </si>
  <si>
    <t>01/2021</t>
  </si>
  <si>
    <t>Milan</t>
  </si>
  <si>
    <t>IT</t>
  </si>
  <si>
    <t>Associate Consultant</t>
  </si>
  <si>
    <t>FALSE</t>
  </si>
  <si>
    <t>Accogli</t>
  </si>
  <si>
    <t>Alberto</t>
  </si>
  <si>
    <t>35-40</t>
  </si>
  <si>
    <t>alberto.accogli@gmail.com</t>
  </si>
  <si>
    <t>https://www.linkedin.com/ilberto-accogli/</t>
  </si>
  <si>
    <t>Boston Consulting Group (BCG)</t>
  </si>
  <si>
    <t>Middle Level</t>
  </si>
  <si>
    <t>Dubai</t>
  </si>
  <si>
    <t>AE</t>
  </si>
  <si>
    <t>Consulting &amp; Advisory</t>
  </si>
  <si>
    <t>Leoni Corporate Advisors</t>
  </si>
  <si>
    <t>Manager</t>
  </si>
  <si>
    <t>01/2012</t>
  </si>
  <si>
    <t>01/2019</t>
  </si>
  <si>
    <t>Consulting</t>
  </si>
  <si>
    <t>Secretary General</t>
  </si>
  <si>
    <t>Head of HR</t>
  </si>
  <si>
    <t>TRUE</t>
  </si>
  <si>
    <t>Acquistapace</t>
  </si>
  <si>
    <t>Alessia</t>
  </si>
  <si>
    <t>alessia.a@amazon.com</t>
  </si>
  <si>
    <t>https://www.linkedin.com/in/alessiaacquistapace/</t>
  </si>
  <si>
    <t>Amazon</t>
  </si>
  <si>
    <t>Consumer &amp; Retail</t>
  </si>
  <si>
    <t>Rothschild &amp; Co</t>
  </si>
  <si>
    <t>06/2021</t>
  </si>
  <si>
    <t>Investment Banking</t>
  </si>
  <si>
    <t>Adamo</t>
  </si>
  <si>
    <t>Gianmaria</t>
  </si>
  <si>
    <t>40-45</t>
  </si>
  <si>
    <t>giamma.ad@libero.it</t>
  </si>
  <si>
    <t>https://www.linkedin.com/in/gianmaria-adamo-4786273/</t>
  </si>
  <si>
    <t>BYD Europe</t>
  </si>
  <si>
    <t>C Level</t>
  </si>
  <si>
    <t>Industrial &amp; Manufacturing</t>
  </si>
  <si>
    <t>Tesla</t>
  </si>
  <si>
    <t>02/2015</t>
  </si>
  <si>
    <t>12/2019</t>
  </si>
  <si>
    <t>Automotive</t>
  </si>
  <si>
    <t>Adorni</t>
  </si>
  <si>
    <t>Luca</t>
  </si>
  <si>
    <t>luca.adorni.98@gmail.com</t>
  </si>
  <si>
    <t>https://www.linkedin.com/in/luca-adorni-4298a1144/</t>
  </si>
  <si>
    <t>University of California, Berkeley</t>
  </si>
  <si>
    <t>Entry Level</t>
  </si>
  <si>
    <t>Berkeley</t>
  </si>
  <si>
    <t>US</t>
  </si>
  <si>
    <t>Education &amp; Research</t>
  </si>
  <si>
    <t>Becker Friedman Institute for Economics</t>
  </si>
  <si>
    <t>08/2022</t>
  </si>
  <si>
    <t>06/2024</t>
  </si>
  <si>
    <t>Chicago</t>
  </si>
  <si>
    <t>Illinois</t>
  </si>
  <si>
    <t>Education</t>
  </si>
  <si>
    <t>Aglialoro</t>
  </si>
  <si>
    <t>Sandro</t>
  </si>
  <si>
    <t>saglialoro@yahoo.it</t>
  </si>
  <si>
    <t>sandro@mostra-mi.it</t>
  </si>
  <si>
    <t>https://www.linkedin.com/in/sandroaglialoro/</t>
  </si>
  <si>
    <t>TACK TMI</t>
  </si>
  <si>
    <t>Kaspersky Italia</t>
  </si>
  <si>
    <t>01/2009</t>
  </si>
  <si>
    <t>Technology &amp; Software</t>
  </si>
  <si>
    <t>Administrator</t>
  </si>
  <si>
    <t>Akar</t>
  </si>
  <si>
    <t>Berkin</t>
  </si>
  <si>
    <t>berkin@sstm2.com</t>
  </si>
  <si>
    <t>bupsberkinakar@gmail.com</t>
  </si>
  <si>
    <t>https://www.linkedin.com/in/berkin-akar/</t>
  </si>
  <si>
    <t>System2</t>
  </si>
  <si>
    <t>New York</t>
  </si>
  <si>
    <t>Wells Fargo</t>
  </si>
  <si>
    <t>07/2024</t>
  </si>
  <si>
    <t>06/2025</t>
  </si>
  <si>
    <t>Alberti</t>
  </si>
  <si>
    <t>alessia.alberti96@gmail.com</t>
  </si>
  <si>
    <t>https://www.linkedin.com/ilessia-alberti-b75a612b/</t>
  </si>
  <si>
    <t>Roveda Laurini Clerici D’Amore Notai</t>
  </si>
  <si>
    <t>Entry level</t>
  </si>
  <si>
    <t>Legal &amp; Compliance</t>
  </si>
  <si>
    <t>BonelliErede</t>
  </si>
  <si>
    <t>02/2022</t>
  </si>
  <si>
    <t>07/2022</t>
  </si>
  <si>
    <t>Legal</t>
  </si>
  <si>
    <t>Alloisio</t>
  </si>
  <si>
    <t>Alessandro</t>
  </si>
  <si>
    <t>55-60</t>
  </si>
  <si>
    <t>alessandroalloisio@gmail.com</t>
  </si>
  <si>
    <t>https://www.linkedin.com/ilessandro-alloisio-9a13a/</t>
  </si>
  <si>
    <t>Freelancer (Self-Employed)</t>
  </si>
  <si>
    <t>Como</t>
  </si>
  <si>
    <t>Sanlorenzo</t>
  </si>
  <si>
    <t>10/2025</t>
  </si>
  <si>
    <t>Ameglia</t>
  </si>
  <si>
    <t>Almiento</t>
  </si>
  <si>
    <t>Giancarlo</t>
  </si>
  <si>
    <t>g.almiento@gmail.com</t>
  </si>
  <si>
    <t>https://www.linkedin.com/in/giancarlo-almiento-9518301/</t>
  </si>
  <si>
    <t>Mundys</t>
  </si>
  <si>
    <t>Bank of America</t>
  </si>
  <si>
    <t>Director</t>
  </si>
  <si>
    <t>09/2021</t>
  </si>
  <si>
    <t>05/2023</t>
  </si>
  <si>
    <t>Banking</t>
  </si>
  <si>
    <t>Vice President</t>
  </si>
  <si>
    <t>Amadio</t>
  </si>
  <si>
    <t>Stefania</t>
  </si>
  <si>
    <t>30-35</t>
  </si>
  <si>
    <t>https://www.linkedin.com/in/stefania-amadio-b6912bb3</t>
  </si>
  <si>
    <t>Cedacri</t>
  </si>
  <si>
    <t>McKinsey &amp; Company</t>
  </si>
  <si>
    <t>09/2017</t>
  </si>
  <si>
    <t>07/2023</t>
  </si>
  <si>
    <t>Amata</t>
  </si>
  <si>
    <t>Marcella</t>
  </si>
  <si>
    <t>marcella_amata@yahoo.it</t>
  </si>
  <si>
    <t>https://www.linkedin.com/in/marcella-amata-98633697/</t>
  </si>
  <si>
    <t>Doo Finance</t>
  </si>
  <si>
    <t>EY</t>
  </si>
  <si>
    <t>06/1993</t>
  </si>
  <si>
    <t>02/1999</t>
  </si>
  <si>
    <t>Advisory</t>
  </si>
  <si>
    <t>Ambrosi</t>
  </si>
  <si>
    <t>Anna</t>
  </si>
  <si>
    <t>anna.ambrosi@gmail.com</t>
  </si>
  <si>
    <t>https://www.linkedin.com/innaambrosi/</t>
  </si>
  <si>
    <t>Frank &amp; Faber</t>
  </si>
  <si>
    <t>Other / Unclassified</t>
  </si>
  <si>
    <t>Anna Ambrosi Interior Design</t>
  </si>
  <si>
    <t>08/2020</t>
  </si>
  <si>
    <t>Art &amp; Design</t>
  </si>
  <si>
    <t>Ambrosiano</t>
  </si>
  <si>
    <t>Eleonora</t>
  </si>
  <si>
    <t>eleonora.ambrosanio@citi.com</t>
  </si>
  <si>
    <t>https://www.linkedin.com/in/eleonora-a-58181432/</t>
  </si>
  <si>
    <t>Barclays</t>
  </si>
  <si>
    <t>11/2020</t>
  </si>
  <si>
    <t>Paris</t>
  </si>
  <si>
    <t>FR</t>
  </si>
  <si>
    <t>Ambrosino</t>
  </si>
  <si>
    <t>Laura</t>
  </si>
  <si>
    <t>50-55</t>
  </si>
  <si>
    <t>laura.ambrosino@ec.europa.eu</t>
  </si>
  <si>
    <t>https://www.linkedin.com/in/laura-ambrosino/</t>
  </si>
  <si>
    <t>European Commission</t>
  </si>
  <si>
    <t>Brussels</t>
  </si>
  <si>
    <t>BE</t>
  </si>
  <si>
    <t>Public Sector &amp; Non-Profit</t>
  </si>
  <si>
    <t>European External Action Service</t>
  </si>
  <si>
    <t>01/2007</t>
  </si>
  <si>
    <t>Ampollini</t>
  </si>
  <si>
    <t>Stefano</t>
  </si>
  <si>
    <t>45-50</t>
  </si>
  <si>
    <t>Ancherani</t>
  </si>
  <si>
    <t>Cesare</t>
  </si>
  <si>
    <t>cesare.ancherani@gmail.com</t>
  </si>
  <si>
    <t>https://www.linkedin.com/in/cesareancherani/</t>
  </si>
  <si>
    <t>Scent Avenue Partners</t>
  </si>
  <si>
    <t>TowerBrook Capital Partners L.P.</t>
  </si>
  <si>
    <t>Associate</t>
  </si>
  <si>
    <t>01/2024</t>
  </si>
  <si>
    <t>Investments</t>
  </si>
  <si>
    <t>Andrade</t>
  </si>
  <si>
    <t>Vinicius</t>
  </si>
  <si>
    <t>Saraiva</t>
  </si>
  <si>
    <t>v.saraiva.andrade@gmail.com</t>
  </si>
  <si>
    <t>https://www.linkedin.com/in/vinicius-saraiva/</t>
  </si>
  <si>
    <t>Stone</t>
  </si>
  <si>
    <t>Rio De Janeiro</t>
  </si>
  <si>
    <t>BR</t>
  </si>
  <si>
    <t>iBanFirst</t>
  </si>
  <si>
    <t>10/2022</t>
  </si>
  <si>
    <t>Antognoni</t>
  </si>
  <si>
    <t>Francesco</t>
  </si>
  <si>
    <t>francesco.antognoni@coima.com</t>
  </si>
  <si>
    <t>https://www.linkedin.com/in/francesco-antognoni-b727358b</t>
  </si>
  <si>
    <t>COIMA</t>
  </si>
  <si>
    <t>HSBC</t>
  </si>
  <si>
    <t>12/2018</t>
  </si>
  <si>
    <t>06/2019</t>
  </si>
  <si>
    <t>Antoniolli</t>
  </si>
  <si>
    <t>alberto.antoniolli@gmail.com</t>
  </si>
  <si>
    <t>https://www.linkedin.com/ilbertoantoniolli/</t>
  </si>
  <si>
    <t>Lazard</t>
  </si>
  <si>
    <t>Italmobiliare S.p.A.</t>
  </si>
  <si>
    <t>09/2019</t>
  </si>
  <si>
    <t>Treasurer</t>
  </si>
  <si>
    <t>Antonucci</t>
  </si>
  <si>
    <t>Sebastiano</t>
  </si>
  <si>
    <t>sebastiano.antonucci@yahoo.com</t>
  </si>
  <si>
    <t>https://www.linkedin.com/in/sebastiano-antonucci-/</t>
  </si>
  <si>
    <t>The Carlyle Group</t>
  </si>
  <si>
    <t>Heritage Holdings</t>
  </si>
  <si>
    <t>01/2023</t>
  </si>
  <si>
    <t>Appoloni</t>
  </si>
  <si>
    <t>Sara</t>
  </si>
  <si>
    <t>sara_appoloni@hotmail.com</t>
  </si>
  <si>
    <t>https://www.linkedin.com/in/sara-appoloni-3511ab3/</t>
  </si>
  <si>
    <t>Ronda Design</t>
  </si>
  <si>
    <t>Vicenza</t>
  </si>
  <si>
    <t>Ronda S.p.A.</t>
  </si>
  <si>
    <t>01/2013</t>
  </si>
  <si>
    <t>01/2016</t>
  </si>
  <si>
    <t>Consumer Goods</t>
  </si>
  <si>
    <t>Aprile</t>
  </si>
  <si>
    <t>David</t>
  </si>
  <si>
    <t>20-25</t>
  </si>
  <si>
    <t>davidaprile001@gmail.com</t>
  </si>
  <si>
    <t>https://www.linkedin.com/in/david-aprile-42191323a/</t>
  </si>
  <si>
    <t>Altman Solon</t>
  </si>
  <si>
    <t>PwC</t>
  </si>
  <si>
    <t>Arduino</t>
  </si>
  <si>
    <t>Roberto</t>
  </si>
  <si>
    <t>arduinor@yahoo.it</t>
  </si>
  <si>
    <t>https://www.linkedin.com/in/roberto-arduino-21249a27/</t>
  </si>
  <si>
    <t>Gruppo Selecover S.p.A. (Selecover, Ferbrokers, Seleservice; another acquisition in progress)</t>
  </si>
  <si>
    <t>Lehman Brothers</t>
  </si>
  <si>
    <t>01/1988</t>
  </si>
  <si>
    <t>01/1989</t>
  </si>
  <si>
    <t>Armani</t>
  </si>
  <si>
    <t>Ettore</t>
  </si>
  <si>
    <t>ettorearmani0@gmail.com</t>
  </si>
  <si>
    <t>e.armani@europainvestimenti.com</t>
  </si>
  <si>
    <t>https://www.linkedin.com/in/ettore-armani-13a25b7</t>
  </si>
  <si>
    <t>Europa Investimenti S.p.A.</t>
  </si>
  <si>
    <t>PINKO</t>
  </si>
  <si>
    <t>05/2017</t>
  </si>
  <si>
    <t>08/2017</t>
  </si>
  <si>
    <t>Shanghai</t>
  </si>
  <si>
    <t>CN</t>
  </si>
  <si>
    <t>Umberto</t>
  </si>
  <si>
    <t>umberto.armani@cdpequity.it</t>
  </si>
  <si>
    <t>umbertoarmani0@gmail.com</t>
  </si>
  <si>
    <t>https://www.linkedin.com/in/umberto-armani-200b18a7/</t>
  </si>
  <si>
    <t>CDP Equity</t>
  </si>
  <si>
    <t>11/2019</t>
  </si>
  <si>
    <t>05/2020</t>
  </si>
  <si>
    <t>International Manager</t>
  </si>
  <si>
    <t>Armeli</t>
  </si>
  <si>
    <t>Luigi</t>
  </si>
  <si>
    <t>Arnaboldi</t>
  </si>
  <si>
    <t>Jacopo</t>
  </si>
  <si>
    <t>jacopo.arnaboldi@gmail.com</t>
  </si>
  <si>
    <t>https://www.linkedin.com/in/jacopo-arnaboldi-442a157/</t>
  </si>
  <si>
    <t>ADVANT Nctm</t>
  </si>
  <si>
    <t>Nokia Siemens Networks S.p.A.</t>
  </si>
  <si>
    <t>02/2010</t>
  </si>
  <si>
    <t>06/2010</t>
  </si>
  <si>
    <t>Arrigoni</t>
  </si>
  <si>
    <t>Alessandra</t>
  </si>
  <si>
    <t>alessandraarrigoni@hotmail.com</t>
  </si>
  <si>
    <t>https://www.linkedin.com/in/alessandra-arrigoni-8aa45b7/</t>
  </si>
  <si>
    <t>NielsenIQ</t>
  </si>
  <si>
    <t>Nielsen</t>
  </si>
  <si>
    <t>01/2014</t>
  </si>
  <si>
    <t>01/2015</t>
  </si>
  <si>
    <t>Technology</t>
  </si>
  <si>
    <t>Artana</t>
  </si>
  <si>
    <t>laura.artana@libero.it</t>
  </si>
  <si>
    <t>https://www.linkedin.com/in/laura-artana-941b4a/</t>
  </si>
  <si>
    <t>Studio Carboni</t>
  </si>
  <si>
    <t>Alessandria</t>
  </si>
  <si>
    <t>Carlsberg</t>
  </si>
  <si>
    <t>10/2005</t>
  </si>
  <si>
    <t>11/2007</t>
  </si>
  <si>
    <t>Attinà</t>
  </si>
  <si>
    <t>Daniela</t>
  </si>
  <si>
    <t>danielaattina@hotmail.com</t>
  </si>
  <si>
    <t>https://www.linkedin.com/in/daniela-attin%ef%bf%bd-1428841/</t>
  </si>
  <si>
    <t>Studio Veritax – Foresta Rossi Pezzini e Associati</t>
  </si>
  <si>
    <t>Studio Foresta e Associati</t>
  </si>
  <si>
    <t>Present</t>
  </si>
  <si>
    <t>Accounting</t>
  </si>
  <si>
    <t>Antonio</t>
  </si>
  <si>
    <t>antonio_attina@hotmail.com</t>
  </si>
  <si>
    <t>https://www.linkedin.com/intonio-attin%c3%a-pmp-389721/</t>
  </si>
  <si>
    <t>BTO Research</t>
  </si>
  <si>
    <t>09/2008</t>
  </si>
  <si>
    <t>Balbo</t>
  </si>
  <si>
    <t>Matteo</t>
  </si>
  <si>
    <t>matteo.balbo@gmail.com</t>
  </si>
  <si>
    <t>https://www.linkedin.com/in/matteo-balbo-9066b532/</t>
  </si>
  <si>
    <t>Bioinerti S.r.l.</t>
  </si>
  <si>
    <t>Allara S.p.A.</t>
  </si>
  <si>
    <t>08/2018</t>
  </si>
  <si>
    <t>08/2021</t>
  </si>
  <si>
    <t>Construction</t>
  </si>
  <si>
    <t>Balconi</t>
  </si>
  <si>
    <t>Paolo</t>
  </si>
  <si>
    <t>info@studiolegalebalconi.com</t>
  </si>
  <si>
    <t>https://www.linkedin.com/in/paolo-balconi-4834b0133/</t>
  </si>
  <si>
    <t>Studio Balconi</t>
  </si>
  <si>
    <t>Owner</t>
  </si>
  <si>
    <t>Treviso</t>
  </si>
  <si>
    <t>Baldassari </t>
  </si>
  <si>
    <t>Marco</t>
  </si>
  <si>
    <t>Maria</t>
  </si>
  <si>
    <t>marcombaldassari1@gmail.com</t>
  </si>
  <si>
    <t>https://www.linkedin.com/in/marco-baldassari-753aa2115/</t>
  </si>
  <si>
    <t>Procter &amp; Gamble</t>
  </si>
  <si>
    <t>Geneva</t>
  </si>
  <si>
    <t>IE</t>
  </si>
  <si>
    <t>Goldman Sachs</t>
  </si>
  <si>
    <t>CH</t>
  </si>
  <si>
    <t>Investment banking</t>
  </si>
  <si>
    <t>Balestra</t>
  </si>
  <si>
    <t>Chiara</t>
  </si>
  <si>
    <t>chiabale@gmail.com</t>
  </si>
  <si>
    <t>https://www.linkedin.com/in/chiarabalestra/</t>
  </si>
  <si>
    <t>Accelerace</t>
  </si>
  <si>
    <t>H14</t>
  </si>
  <si>
    <t>Ballacchino</t>
  </si>
  <si>
    <t>Andrea</t>
  </si>
  <si>
    <t>andreballacchino@gmail.com</t>
  </si>
  <si>
    <t>https://www.linkedin.com/in/andrea-ballacchino/</t>
  </si>
  <si>
    <t>Simon-Kucher &amp; Partners</t>
  </si>
  <si>
    <t>T8P Consulting</t>
  </si>
  <si>
    <t>Ballantini</t>
  </si>
  <si>
    <t>Benedetta</t>
  </si>
  <si>
    <t>Bandini</t>
  </si>
  <si>
    <t>Michele</t>
  </si>
  <si>
    <t>michele.bandini@cemsmail.org</t>
  </si>
  <si>
    <t>https://www.linkedin.com/in/michelebandini/</t>
  </si>
  <si>
    <t>03/2010</t>
  </si>
  <si>
    <t>08/2010</t>
  </si>
  <si>
    <t>Barbati</t>
  </si>
  <si>
    <t>Lorenzo</t>
  </si>
  <si>
    <t>lollobarbans@hotmail.com</t>
  </si>
  <si>
    <t>lorenzo.barbati@gmail.com</t>
  </si>
  <si>
    <t>https://www.linkedin.com/in/lorenzo-barbati-151b6014/</t>
  </si>
  <si>
    <t>Gvangels</t>
  </si>
  <si>
    <t>Sao Paolo</t>
  </si>
  <si>
    <t>St Marche</t>
  </si>
  <si>
    <t>02/2020</t>
  </si>
  <si>
    <t>05/2021</t>
  </si>
  <si>
    <t>Retail</t>
  </si>
  <si>
    <t>Barbieri</t>
  </si>
  <si>
    <t>Elena</t>
  </si>
  <si>
    <t>elena_barbieri@yahoo.it</t>
  </si>
  <si>
    <t>https://www.linkedin.com/in/elena-barbieri-235a72/</t>
  </si>
  <si>
    <t>Direct Line Group</t>
  </si>
  <si>
    <t>Virgin Money</t>
  </si>
  <si>
    <t>03/2008</t>
  </si>
  <si>
    <t>m.barbieri9@gmail.com</t>
  </si>
  <si>
    <t>https://www.linkedin.com/in/marco-barbieri-81660134/</t>
  </si>
  <si>
    <t>Lavazza Group</t>
  </si>
  <si>
    <t>Turin</t>
  </si>
  <si>
    <t>01/2017</t>
  </si>
  <si>
    <t>Rome</t>
  </si>
  <si>
    <t>Corporate Finance</t>
  </si>
  <si>
    <t>Head of Communications</t>
  </si>
  <si>
    <t>Barchiesi</t>
  </si>
  <si>
    <t>mat.barchiesi@gmail.com</t>
  </si>
  <si>
    <t>https://www.linkedin.com/in/matteo-barchiesi-65b06061/</t>
  </si>
  <si>
    <t>Blackstone</t>
  </si>
  <si>
    <t>CPP Investments</t>
  </si>
  <si>
    <t>01/2018</t>
  </si>
  <si>
    <t>06/2022</t>
  </si>
  <si>
    <t>Barindelli</t>
  </si>
  <si>
    <t>+333355796192</t>
  </si>
  <si>
    <t>marco.barindelli@natixis.com</t>
  </si>
  <si>
    <t>https://www.linkedin.com/in/marco-barindelli-33b5167/</t>
  </si>
  <si>
    <t>Natixis Investment Managers</t>
  </si>
  <si>
    <t>Schroder Investment Management (Europe) S.A.</t>
  </si>
  <si>
    <t>07/2019</t>
  </si>
  <si>
    <t>12/2021</t>
  </si>
  <si>
    <t>Barone</t>
  </si>
  <si>
    <t>Giacomo</t>
  </si>
  <si>
    <t>giacomo.barone@hiop.io</t>
  </si>
  <si>
    <t>https://www.linkedin.com/in/giacomobarone/</t>
  </si>
  <si>
    <t>Hiop</t>
  </si>
  <si>
    <t>Università Bocconi</t>
  </si>
  <si>
    <t>Head of Sales</t>
  </si>
  <si>
    <t>Baroni</t>
  </si>
  <si>
    <t>Augusto</t>
  </si>
  <si>
    <t>andrea.augusto.baroni@gmail.com</t>
  </si>
  <si>
    <t>https://www.linkedin.com/iabaroni/</t>
  </si>
  <si>
    <t>Travelport</t>
  </si>
  <si>
    <t>Bartesaghi Truong</t>
  </si>
  <si>
    <t>Sarah</t>
  </si>
  <si>
    <t>sarah@venividiparis.fr</t>
  </si>
  <si>
    <t>https://www.linkedin.com/in/sarah-bartesaghi-truong-291b6a8</t>
  </si>
  <si>
    <t>Venividiparis</t>
  </si>
  <si>
    <t>Deutsche Bank</t>
  </si>
  <si>
    <t>02/1997</t>
  </si>
  <si>
    <t>03/2007</t>
  </si>
  <si>
    <t>Barzanti</t>
  </si>
  <si>
    <t>barzantianna@gmail.com</t>
  </si>
  <si>
    <t>https://www.linkedin.com/inna-barzanti</t>
  </si>
  <si>
    <t>Confindustria Vicenza</t>
  </si>
  <si>
    <t>Nuove Sales</t>
  </si>
  <si>
    <t>10/2018</t>
  </si>
  <si>
    <t>05/2024</t>
  </si>
  <si>
    <t>Palo Alto</t>
  </si>
  <si>
    <t>Basile</t>
  </si>
  <si>
    <t>francesco.basile@gmail.com</t>
  </si>
  <si>
    <t>https://www.linkedin.com/in/francescobasile/</t>
  </si>
  <si>
    <t>Dow</t>
  </si>
  <si>
    <t>10/2015</t>
  </si>
  <si>
    <t>Chemistry</t>
  </si>
  <si>
    <t>President</t>
  </si>
  <si>
    <t>Bellisio</t>
  </si>
  <si>
    <t>Tommaso</t>
  </si>
  <si>
    <t>tommaso.bellisio@studbocconi.it</t>
  </si>
  <si>
    <t>https://www.linkedin.com/in/tommaso-bellisio-b01573221/</t>
  </si>
  <si>
    <t>Bloomberg</t>
  </si>
  <si>
    <t>01/2025</t>
  </si>
  <si>
    <t>Belloni Peressutti</t>
  </si>
  <si>
    <t>Mario</t>
  </si>
  <si>
    <t>mario.belloniperessutti@jeme.it</t>
  </si>
  <si>
    <t>mariobelloni96@gmail.com</t>
  </si>
  <si>
    <t>https://www.linkedin.com/in/mario-belloni-peressutti-3a7457159/</t>
  </si>
  <si>
    <t>Studio Notarile Cortucci</t>
  </si>
  <si>
    <t>Simmons &amp; Simmons</t>
  </si>
  <si>
    <t>Bellotti</t>
  </si>
  <si>
    <t>Benedetti del Rio</t>
  </si>
  <si>
    <t>Roberta</t>
  </si>
  <si>
    <t>robedelrio@hotmail.it</t>
  </si>
  <si>
    <t>https://www.linkedin.com/in/roberta-benedettidelrio/</t>
  </si>
  <si>
    <t>Radia Capital</t>
  </si>
  <si>
    <t>Deep Transitions</t>
  </si>
  <si>
    <t>05/2025</t>
  </si>
  <si>
    <t>Benini</t>
  </si>
  <si>
    <t>stefano.benini@fastwebnet.it</t>
  </si>
  <si>
    <t>https://www.linkedin.com/in/stefano-benini/</t>
  </si>
  <si>
    <t>A2A Recycling S.r.l.</t>
  </si>
  <si>
    <t>Energy &amp; Utilities</t>
  </si>
  <si>
    <t>Resmal (Gruppo A2A)</t>
  </si>
  <si>
    <t>05/2008</t>
  </si>
  <si>
    <t>07/2016</t>
  </si>
  <si>
    <t>Sustainabilty</t>
  </si>
  <si>
    <t>Benintende</t>
  </si>
  <si>
    <t>francescobenintende@gmail.com</t>
  </si>
  <si>
    <t>benintende@hotmail.com
fb_mathman@hotmail.com</t>
  </si>
  <si>
    <t>https://www.linkedin.com/in/francesco-benintende-40721a3/</t>
  </si>
  <si>
    <t>doValue</t>
  </si>
  <si>
    <t>11/2011</t>
  </si>
  <si>
    <t>Bennati</t>
  </si>
  <si>
    <t>s.bennati@europainvestimenti.com</t>
  </si>
  <si>
    <t>https://www.linkedin.com/in/stefano-bennati-3b69051/</t>
  </si>
  <si>
    <t>Arrow Global Italy</t>
  </si>
  <si>
    <t>01/2022</t>
  </si>
  <si>
    <t>Benvegnù</t>
  </si>
  <si>
    <t>Katia</t>
  </si>
  <si>
    <t>martinettiosculati@gmail.com</t>
  </si>
  <si>
    <t>https://www.linkedin.com/in/katia-benvegnù-141349155/</t>
  </si>
  <si>
    <t>Deutsche Bank Italia</t>
  </si>
  <si>
    <t>03/2000</t>
  </si>
  <si>
    <t>01/2026</t>
  </si>
  <si>
    <t>Bergamini</t>
  </si>
  <si>
    <t>anbergamini@gmail.com</t>
  </si>
  <si>
    <t>https://www.linkedin.com/in/andrea-bergamini-40695b6/</t>
  </si>
  <si>
    <t>Electrolux</t>
  </si>
  <si>
    <t>Stockholm</t>
  </si>
  <si>
    <t>Whirlpool</t>
  </si>
  <si>
    <t>04/2015</t>
  </si>
  <si>
    <t>12/2015</t>
  </si>
  <si>
    <t>Comerio</t>
  </si>
  <si>
    <t>Bergantin</t>
  </si>
  <si>
    <t>Diana</t>
  </si>
  <si>
    <t>diana.bergantin@outlook.it</t>
  </si>
  <si>
    <t>https://www.linkedin.com/in/diana-bergantin-943383238/</t>
  </si>
  <si>
    <t>BNY</t>
  </si>
  <si>
    <t>Fidelity International</t>
  </si>
  <si>
    <t>Bernardini</t>
  </si>
  <si>
    <t>francesco.bernardini@bancaetruria.it</t>
  </si>
  <si>
    <t>berna220780@yahoo.it</t>
  </si>
  <si>
    <t>https://www.linkedin.com/in/francesco-bernardini-8015451/</t>
  </si>
  <si>
    <t>Intesa Sanpaolo</t>
  </si>
  <si>
    <t>UBI Banca</t>
  </si>
  <si>
    <t>Bergamo</t>
  </si>
  <si>
    <t>Bernasconi</t>
  </si>
  <si>
    <t>sara.bernasconi997@gmail.com</t>
  </si>
  <si>
    <t>https://www.linkedin.com/in/sara-bernasconi-b6bb101a6/</t>
  </si>
  <si>
    <t>Greenberg Traurig Santa Maria</t>
  </si>
  <si>
    <t>09/2022</t>
  </si>
  <si>
    <t>Berrinzoni</t>
  </si>
  <si>
    <t>marco.berrinzoni@gmail.com</t>
  </si>
  <si>
    <t>https://www.linkedin.com/in/marco-berrinzoni-a033253/</t>
  </si>
  <si>
    <t>Nexi</t>
  </si>
  <si>
    <t>LVMH</t>
  </si>
  <si>
    <t>06/2016</t>
  </si>
  <si>
    <t>11/2018</t>
  </si>
  <si>
    <t>Fashion</t>
  </si>
  <si>
    <t>Bertè</t>
  </si>
  <si>
    <t>andrea.bertè@yahoo.it</t>
  </si>
  <si>
    <t>andreabertè@47northproductions.com</t>
  </si>
  <si>
    <t>https://www.linkedin.com/indrea-berte-38446947/</t>
  </si>
  <si>
    <t>zeb consulting</t>
  </si>
  <si>
    <t>Isacco</t>
  </si>
  <si>
    <t>isacco.berte@gmail.com</t>
  </si>
  <si>
    <t>https://www.linkedin.com/in/isacco-bertè/</t>
  </si>
  <si>
    <t>Institut des Politiques Publiques</t>
  </si>
  <si>
    <t>Ecole Normale Supérieure</t>
  </si>
  <si>
    <t>Berti</t>
  </si>
  <si>
    <t>Livio</t>
  </si>
  <si>
    <t>liviorafberti@gmail.com</t>
  </si>
  <si>
    <t>https://www.linkedin.com/in/livio-berti-193a23140/</t>
  </si>
  <si>
    <t>UniCredit</t>
  </si>
  <si>
    <t>Bettini</t>
  </si>
  <si>
    <t>matteobettinib@gmail.com</t>
  </si>
  <si>
    <t>https://www.linkedin.com/in/matteo-bettini-bm9/</t>
  </si>
  <si>
    <t>Linklaters</t>
  </si>
  <si>
    <t>Sea Way</t>
  </si>
  <si>
    <t>Genova</t>
  </si>
  <si>
    <t>Media, Marketing &amp; Entertainment</t>
  </si>
  <si>
    <t>Head of Legal</t>
  </si>
  <si>
    <t>Bianchi</t>
  </si>
  <si>
    <t>Fabio</t>
  </si>
  <si>
    <t>fabio.bianchi@revolut.com</t>
  </si>
  <si>
    <t>https://www.linkedin.com/in/fabio-bianchi24/</t>
  </si>
  <si>
    <t>Revolut</t>
  </si>
  <si>
    <t>Barcelona</t>
  </si>
  <si>
    <t>ES</t>
  </si>
  <si>
    <t>Bianchimano</t>
  </si>
  <si>
    <t>Armando</t>
  </si>
  <si>
    <t>armandobianchimano@gmail.com</t>
  </si>
  <si>
    <t>https://www.linkedin.com/in/armandobianchimano/</t>
  </si>
  <si>
    <t>BPI Learn</t>
  </si>
  <si>
    <t>Madrid</t>
  </si>
  <si>
    <t>Accenture</t>
  </si>
  <si>
    <t>Biancolin</t>
  </si>
  <si>
    <t>michele.biancolin@gmail.com</t>
  </si>
  <si>
    <t>https://www.linkedin.com/in/michele-biancolin-0863161/</t>
  </si>
  <si>
    <t>Natixis Corporate &amp; Investment Banking</t>
  </si>
  <si>
    <t>GE</t>
  </si>
  <si>
    <t>12/2010</t>
  </si>
  <si>
    <t>Belfort</t>
  </si>
  <si>
    <t>Energy</t>
  </si>
  <si>
    <t>Bielinyte</t>
  </si>
  <si>
    <t>Aiste</t>
  </si>
  <si>
    <t>aiste.bielinyte@pimco.com</t>
  </si>
  <si>
    <t>https://www.linkedin.com/in/aistebielinyte/</t>
  </si>
  <si>
    <t>PIMCO</t>
  </si>
  <si>
    <t>Coinvest Capital</t>
  </si>
  <si>
    <t>Vilnius</t>
  </si>
  <si>
    <t>LT</t>
  </si>
  <si>
    <t>Biella</t>
  </si>
  <si>
    <t>Patrick</t>
  </si>
  <si>
    <t>patrickbiella@gmail.com</t>
  </si>
  <si>
    <t>https://www.linkedin.com/in/patrickbiella/</t>
  </si>
  <si>
    <t>Red Sky Games</t>
  </si>
  <si>
    <t>Equikon Ltd</t>
  </si>
  <si>
    <t>Biffi</t>
  </si>
  <si>
    <t>Alvise</t>
  </si>
  <si>
    <t>a.biffi@securenetwork.it</t>
  </si>
  <si>
    <t>https://www.linkedin.com/ilvise-biffi-115aa5/</t>
  </si>
  <si>
    <t>Assolombarda</t>
  </si>
  <si>
    <t>Camera di Commercio Milano Monza Brianza Lodi</t>
  </si>
  <si>
    <t>Public Policy</t>
  </si>
  <si>
    <t>Biraghi</t>
  </si>
  <si>
    <t>bira@mac.com</t>
  </si>
  <si>
    <t>bira@me.com</t>
  </si>
  <si>
    <t>https://www.linkedin.com/in/giacomobiraghi/</t>
  </si>
  <si>
    <t>Stratosferica</t>
  </si>
  <si>
    <t>Blasioli</t>
  </si>
  <si>
    <t>matteo.blasioli@jpmorgan.com</t>
  </si>
  <si>
    <t>https://www.linkedin.com/in/matteo-blasioli-264179151/</t>
  </si>
  <si>
    <t>J.P. Morgan</t>
  </si>
  <si>
    <t>JEME Bocconi Studenti</t>
  </si>
  <si>
    <t>02/2017</t>
  </si>
  <si>
    <t>10/2020</t>
  </si>
  <si>
    <t>Boaron</t>
  </si>
  <si>
    <t>Fabrizio</t>
  </si>
  <si>
    <t>f.boaron@wrmgroup.net</t>
  </si>
  <si>
    <t>fabrizio@boaron.com</t>
  </si>
  <si>
    <t>https://www.linkedin.com/in/fabrizio-boaron-438ba42/</t>
  </si>
  <si>
    <t>WRM Group</t>
  </si>
  <si>
    <t>Luxembourg</t>
  </si>
  <si>
    <t>LU</t>
  </si>
  <si>
    <t>WRM CapInvest</t>
  </si>
  <si>
    <t>04/2017</t>
  </si>
  <si>
    <t>03/2023</t>
  </si>
  <si>
    <t>Bolognese</t>
  </si>
  <si>
    <t>Edoardo</t>
  </si>
  <si>
    <t>edoardo.bolognese99@gmail.com</t>
  </si>
  <si>
    <t>edoardo.bolognese@bain.com</t>
  </si>
  <si>
    <t>https://www.linkedin.com/in/edoardo-bolognese/ </t>
  </si>
  <si>
    <t>Bain &amp; Company</t>
  </si>
  <si>
    <t>FabCamp</t>
  </si>
  <si>
    <t>Head of Marketing</t>
  </si>
  <si>
    <t>Bona</t>
  </si>
  <si>
    <t>Dalla</t>
  </si>
  <si>
    <t>francescodallabona1@gmail.com</t>
  </si>
  <si>
    <t>https://www.linkedin.com/in/francesco-dalla-bona/</t>
  </si>
  <si>
    <t>APL Group</t>
  </si>
  <si>
    <t>Munich</t>
  </si>
  <si>
    <t>DE</t>
  </si>
  <si>
    <t>Private equity</t>
  </si>
  <si>
    <t>Bonacina</t>
  </si>
  <si>
    <t>roberto.bonacina@ethica-group.com</t>
  </si>
  <si>
    <t>roberto.bonacina@ymail.com</t>
  </si>
  <si>
    <t>https://www.linkedin.com/in/robertobonacina</t>
  </si>
  <si>
    <t>Ethica Group</t>
  </si>
  <si>
    <t>Bonsignori</t>
  </si>
  <si>
    <t>Carlotta</t>
  </si>
  <si>
    <t>https://www.linkedin.com/in/carlotta-bonsignori-4b77a95a</t>
  </si>
  <si>
    <t>Frontier Economics</t>
  </si>
  <si>
    <t>Fondazione per l'Ambiente</t>
  </si>
  <si>
    <t>02/2013</t>
  </si>
  <si>
    <t>08/2013</t>
  </si>
  <si>
    <t>Bonucchi</t>
  </si>
  <si>
    <t>Ludovico</t>
  </si>
  <si>
    <t>https://www.linkedin.com/in/lbonucchi/</t>
  </si>
  <si>
    <t>Morgan Stanley</t>
  </si>
  <si>
    <t>Equita</t>
  </si>
  <si>
    <t>Bosisio</t>
  </si>
  <si>
    <t>Silvia</t>
  </si>
  <si>
    <t>bosisio.silvia@gmail.com</t>
  </si>
  <si>
    <t>bosisio.silvia@siemens.com</t>
  </si>
  <si>
    <t>Siemens S.p.A.</t>
  </si>
  <si>
    <t>Ingersoll</t>
  </si>
  <si>
    <t>09/2004</t>
  </si>
  <si>
    <t>Engineering</t>
  </si>
  <si>
    <t>Boucherie</t>
  </si>
  <si>
    <t>matteo.boucherie@orange.fr</t>
  </si>
  <si>
    <t>boucherie.matteo@bcg.com</t>
  </si>
  <si>
    <t>https://www.linkedin.com/in/matteo-boucherie/</t>
  </si>
  <si>
    <t>Montreal</t>
  </si>
  <si>
    <t>CA</t>
  </si>
  <si>
    <t>Bovenzi</t>
  </si>
  <si>
    <t>Federico</t>
  </si>
  <si>
    <t>fedebovenzi@gmail.com</t>
  </si>
  <si>
    <t>https://www.linkedin.com/in/federico-bovenzi</t>
  </si>
  <si>
    <t>Gatti Pavesi Bianchi Ludovici</t>
  </si>
  <si>
    <t>Brambilla</t>
  </si>
  <si>
    <t>https://www.linkedin.com/in/alessandro-brambilla-24522121/</t>
  </si>
  <si>
    <t>Mediobanca Premier</t>
  </si>
  <si>
    <t>08/2016</t>
  </si>
  <si>
    <t>Branchini</t>
  </si>
  <si>
    <t>giacomobranchini@hotmail.it</t>
  </si>
  <si>
    <t>KKR &amp; Co. Inc.</t>
  </si>
  <si>
    <t>11/2014</t>
  </si>
  <si>
    <t>12/2016</t>
  </si>
  <si>
    <t>Brentel</t>
  </si>
  <si>
    <t>stefanobrentel@yahoo.it</t>
  </si>
  <si>
    <t>https://www.linkedin.com/in/stefano-brentel-40ba6a2/</t>
  </si>
  <si>
    <t>Desenzano del Garda</t>
  </si>
  <si>
    <t>Head of Quality</t>
  </si>
  <si>
    <t>Bressan</t>
  </si>
  <si>
    <t>Alessio</t>
  </si>
  <si>
    <t>alessio.bressan@igbressan.it</t>
  </si>
  <si>
    <t>https://www.linkedin.com/ilessio-bressan-8b26b/</t>
  </si>
  <si>
    <t>IGB - Industrie Grafiche Bressan</t>
  </si>
  <si>
    <t>01/1998</t>
  </si>
  <si>
    <t>01/1999</t>
  </si>
  <si>
    <t>Bruna</t>
  </si>
  <si>
    <t>Lapo</t>
  </si>
  <si>
    <t>lapobruna@gmail.com</t>
  </si>
  <si>
    <t>https://www.linkedin.com/in/lapo-bruna-b6322011a/</t>
  </si>
  <si>
    <t>N/A</t>
  </si>
  <si>
    <t>Colorpoint S.r.l.</t>
  </si>
  <si>
    <t>07/2014</t>
  </si>
  <si>
    <t>08/2014</t>
  </si>
  <si>
    <t>Alba</t>
  </si>
  <si>
    <t>Brusatori</t>
  </si>
  <si>
    <t>sara.brusatori@innext.it</t>
  </si>
  <si>
    <t>https://www.linkedin.com/in/sara-brusatori-4b673617</t>
  </si>
  <si>
    <t>Reno Your Retail Partners</t>
  </si>
  <si>
    <t>Libero Professionista</t>
  </si>
  <si>
    <t>01/2010</t>
  </si>
  <si>
    <t>04/2012</t>
  </si>
  <si>
    <t>Brutto</t>
  </si>
  <si>
    <t>bruttoalessandro@gmail.com</t>
  </si>
  <si>
    <t>https://www.linkedin.com/ilessandro-brutto-bb15117</t>
  </si>
  <si>
    <t>Cinven</t>
  </si>
  <si>
    <t>11/2021</t>
  </si>
  <si>
    <t>Bufano</t>
  </si>
  <si>
    <t>Maria Giulia</t>
  </si>
  <si>
    <t>maria.giulia.bufano@gmail.com</t>
  </si>
  <si>
    <t>Embassy of Italy in Kuala Lumpur</t>
  </si>
  <si>
    <t>Bugini</t>
  </si>
  <si>
    <t>jacopo.bugini@gmail.com</t>
  </si>
  <si>
    <t>https://www.linkedin.com/in/jacopobugini/</t>
  </si>
  <si>
    <t>Casavo</t>
  </si>
  <si>
    <t>Real Estate</t>
  </si>
  <si>
    <t>07/2021</t>
  </si>
  <si>
    <t>Head of IT</t>
  </si>
  <si>
    <t>Busnardo</t>
  </si>
  <si>
    <t>Giorgio</t>
  </si>
  <si>
    <t>Busuito</t>
  </si>
  <si>
    <t>Francesca</t>
  </si>
  <si>
    <t>francescabusuito@yahoo.it</t>
  </si>
  <si>
    <t>busuito@proraso.com</t>
  </si>
  <si>
    <t>https://www.linkedin.com/in/francesca-busuito-060a316/</t>
  </si>
  <si>
    <t>Ludovico Martelli S.p.A.</t>
  </si>
  <si>
    <t>Hong Kong</t>
  </si>
  <si>
    <t>Moleskine</t>
  </si>
  <si>
    <t>04/2020</t>
  </si>
  <si>
    <t>HK</t>
  </si>
  <si>
    <t>Caccavaio</t>
  </si>
  <si>
    <t>Marianna</t>
  </si>
  <si>
    <t>marianna.caccavaio@ecb.europa.eu</t>
  </si>
  <si>
    <t>https://www.linkedin.com/in/marianna-caccavaio-93094155/</t>
  </si>
  <si>
    <t>Banca d'Italia</t>
  </si>
  <si>
    <t>European Central Bank</t>
  </si>
  <si>
    <t>Frankfurt</t>
  </si>
  <si>
    <t>Cadoni</t>
  </si>
  <si>
    <t>scadoni9@gmail.com</t>
  </si>
  <si>
    <t>https://www.linkedin.com/in/stefano-cadoni/</t>
  </si>
  <si>
    <t>Capitalmind Investec</t>
  </si>
  <si>
    <t>Neulabs</t>
  </si>
  <si>
    <t>05/2022</t>
  </si>
  <si>
    <t>Board Member</t>
  </si>
  <si>
    <t>President of JE Italy</t>
  </si>
  <si>
    <t>Calvo</t>
  </si>
  <si>
    <t>clvmhl@yahoo.com</t>
  </si>
  <si>
    <t>https://www.linkedin.com/in/michelecalvo/</t>
  </si>
  <si>
    <t>TowerBrook</t>
  </si>
  <si>
    <t>PJT Partners</t>
  </si>
  <si>
    <t>Calvosa</t>
  </si>
  <si>
    <t>chiara.calvosa@gmail.com</t>
  </si>
  <si>
    <t>https://www.linkedin.com/in/chiara-calvosa-williams-54342/</t>
  </si>
  <si>
    <t>International Fund for Agricultural Development (IFAD)</t>
  </si>
  <si>
    <t>African Development Bank</t>
  </si>
  <si>
    <t>06/2015</t>
  </si>
  <si>
    <t>TN</t>
  </si>
  <si>
    <t>Camadini</t>
  </si>
  <si>
    <t>Pierluigi</t>
  </si>
  <si>
    <t>pierluigicamadini@gmail.com</t>
  </si>
  <si>
    <t>https://www.linkedin.com/in/pierluigi-camadini/</t>
  </si>
  <si>
    <t>11/2023</t>
  </si>
  <si>
    <t>Camisassa</t>
  </si>
  <si>
    <t>giacomo@camisassa.com</t>
  </si>
  <si>
    <t>https://www.linkedin.com/in/camisassagiacomo/</t>
  </si>
  <si>
    <t>Skillvue</t>
  </si>
  <si>
    <t>04/2019</t>
  </si>
  <si>
    <t>Mumbai</t>
  </si>
  <si>
    <t>IN</t>
  </si>
  <si>
    <t>Caneschi</t>
  </si>
  <si>
    <t>Vieri</t>
  </si>
  <si>
    <t>vieri.caneschi@bakerhughes.com</t>
  </si>
  <si>
    <t>https://www.linkedin.com/in/vieri-caneschi-927988ba</t>
  </si>
  <si>
    <t>Baker Hughes</t>
  </si>
  <si>
    <t>growITup</t>
  </si>
  <si>
    <t>02/2019</t>
  </si>
  <si>
    <t>05/2019</t>
  </si>
  <si>
    <t>Capetti</t>
  </si>
  <si>
    <t>Giulia</t>
  </si>
  <si>
    <t>giulia.capetti@gmail.com</t>
  </si>
  <si>
    <t>https://www.linkedin.com/in/giuliacapetti/</t>
  </si>
  <si>
    <t>Studio Capetti</t>
  </si>
  <si>
    <t>Studio Vergallo Brivio e Associati</t>
  </si>
  <si>
    <t>09/2013</t>
  </si>
  <si>
    <t>03/2024</t>
  </si>
  <si>
    <t>Capra</t>
  </si>
  <si>
    <t>Carlo</t>
  </si>
  <si>
    <t>carlo.capra@gmail.com</t>
  </si>
  <si>
    <t>https://www.linkedin.com/in/carlocapra</t>
  </si>
  <si>
    <t>Gellify</t>
  </si>
  <si>
    <t>Innext</t>
  </si>
  <si>
    <t>05/2010</t>
  </si>
  <si>
    <t>President of JADE</t>
  </si>
  <si>
    <t>Capuano</t>
  </si>
  <si>
    <t>lc_capuano@yahoo.it</t>
  </si>
  <si>
    <t>https://www.linkedin.com/in/capuanoluca/</t>
  </si>
  <si>
    <t>FSI</t>
  </si>
  <si>
    <t>Nova Talent</t>
  </si>
  <si>
    <t>Human Capital &amp; Services</t>
  </si>
  <si>
    <t>Carluccio</t>
  </si>
  <si>
    <t>Clara</t>
  </si>
  <si>
    <t>claracarluccio@icloud.com</t>
  </si>
  <si>
    <t>https://www.linkedin.com/in/clara-carluccio/</t>
  </si>
  <si>
    <t>Credit Suisse</t>
  </si>
  <si>
    <t>09/2020</t>
  </si>
  <si>
    <t>12/2020</t>
  </si>
  <si>
    <t>Caroccia</t>
  </si>
  <si>
    <t>Eliana</t>
  </si>
  <si>
    <t>eliana.caroccia@hotmail.it</t>
  </si>
  <si>
    <t>https://www.linkedin.com/in/eliana-caroccia-54256315/</t>
  </si>
  <si>
    <t>Commerzbank</t>
  </si>
  <si>
    <t>Banca IMI</t>
  </si>
  <si>
    <t>03/2012</t>
  </si>
  <si>
    <t>10/2019</t>
  </si>
  <si>
    <t>Carraro</t>
  </si>
  <si>
    <t>giacomo.carraro@blackstone.com</t>
  </si>
  <si>
    <t>giacomo.carraro1@gmail.com</t>
  </si>
  <si>
    <t>https://www.linkedin.com/in/giacomo-carraro-05a668120/</t>
  </si>
  <si>
    <t>Cartapani</t>
  </si>
  <si>
    <t>Giovanni</t>
  </si>
  <si>
    <t>giovanni.cartapani@hotmail.it</t>
  </si>
  <si>
    <t>giovanni.cartapani@bain.com</t>
  </si>
  <si>
    <t>https://www.linkedin.com/in/giovannicartapani</t>
  </si>
  <si>
    <t>Zurich</t>
  </si>
  <si>
    <t>Google</t>
  </si>
  <si>
    <t>10/2024</t>
  </si>
  <si>
    <t>Dublin</t>
  </si>
  <si>
    <t>Head of Business Development</t>
  </si>
  <si>
    <t>Pietro</t>
  </si>
  <si>
    <t>pietrocartapani@gmail.com</t>
  </si>
  <si>
    <t>https://www.linkedin.com/in/pietro-cartapani-1918ba24b/</t>
  </si>
  <si>
    <t>Bending Spoons</t>
  </si>
  <si>
    <t>TikTok</t>
  </si>
  <si>
    <t>Carter</t>
  </si>
  <si>
    <t>Shelby</t>
  </si>
  <si>
    <t>Renata</t>
  </si>
  <si>
    <t>carter_shelby@outlook.com</t>
  </si>
  <si>
    <t>https://www.linkedin.com/in/shelbyrcarter/</t>
  </si>
  <si>
    <t>Calvin Risk</t>
  </si>
  <si>
    <t>None</t>
  </si>
  <si>
    <t>Cartocci</t>
  </si>
  <si>
    <t>Bruno</t>
  </si>
  <si>
    <t>b.cartocci@equita.eu</t>
  </si>
  <si>
    <t>https://www.linkedin.com/in/bruno-cartocci-2391251/</t>
  </si>
  <si>
    <t>EQUITA</t>
  </si>
  <si>
    <t>Banca Akros</t>
  </si>
  <si>
    <t>01/1997</t>
  </si>
  <si>
    <t>01/2000</t>
  </si>
  <si>
    <t>Carvelli</t>
  </si>
  <si>
    <t>andrea.carvelli@lw.com</t>
  </si>
  <si>
    <t>https://www.linkedin.com/in/andrea-carvelli/</t>
  </si>
  <si>
    <t>Latham &amp; Watkins</t>
  </si>
  <si>
    <t>Baker McKenzie</t>
  </si>
  <si>
    <t>Casartelli</t>
  </si>
  <si>
    <t>luca.casartelli1@gmail.com</t>
  </si>
  <si>
    <t>https://www.linkedin.com/in/luca-casartelli-910a0832/</t>
  </si>
  <si>
    <t>UnipolSai Assicurazioni</t>
  </si>
  <si>
    <t>AXA Assicurazioni</t>
  </si>
  <si>
    <t>09/2007</t>
  </si>
  <si>
    <t>07/2008</t>
  </si>
  <si>
    <t>Insurance</t>
  </si>
  <si>
    <t>mchiara.casartelli@gmail.com</t>
  </si>
  <si>
    <t>https://www.linkedin.com/in/maria-chiara-casartelli-0486a131/</t>
  </si>
  <si>
    <t>Vans</t>
  </si>
  <si>
    <t>SWAROVSKI</t>
  </si>
  <si>
    <t>10/2021</t>
  </si>
  <si>
    <t>Männedorf</t>
  </si>
  <si>
    <t>xx/2007</t>
  </si>
  <si>
    <t>Casati</t>
  </si>
  <si>
    <t>stefanocasati@yahoo.it</t>
  </si>
  <si>
    <t>https://www.linkedin.com/in/stefano-casati-524b421/</t>
  </si>
  <si>
    <t>DoubleYou S.r.l.</t>
  </si>
  <si>
    <t>MUOVERSI</t>
  </si>
  <si>
    <t>06/2014</t>
  </si>
  <si>
    <t>Human Resources</t>
  </si>
  <si>
    <t>Casoli</t>
  </si>
  <si>
    <t>renatacasoli@gmail.com</t>
  </si>
  <si>
    <t>renata.casoli@infinitaslearning.com</t>
  </si>
  <si>
    <t>https://www.linkedin.com/in/renatacasoli</t>
  </si>
  <si>
    <t>Infinitas Learning</t>
  </si>
  <si>
    <t>Amsterdam</t>
  </si>
  <si>
    <t>NL</t>
  </si>
  <si>
    <t>Nike</t>
  </si>
  <si>
    <t>03/2021</t>
  </si>
  <si>
    <t>Casonato</t>
  </si>
  <si>
    <t>Lee</t>
  </si>
  <si>
    <t>leecasonato@hotmail.com</t>
  </si>
  <si>
    <t>casonatolee@gmail.com</t>
  </si>
  <si>
    <t>https://www.linkedin.com/in/lee-casonato-46a6125/</t>
  </si>
  <si>
    <t>Banca ITB</t>
  </si>
  <si>
    <t>Castellani</t>
  </si>
  <si>
    <t>Caterina</t>
  </si>
  <si>
    <t>cate.castellani@gmail.com</t>
  </si>
  <si>
    <t>https://www.linkedin.com/in/caterina-castellani-514418b</t>
  </si>
  <si>
    <t>Timage S.r.l.</t>
  </si>
  <si>
    <t>Calderara di Reno</t>
  </si>
  <si>
    <t>Ilapak Packaging Machinery</t>
  </si>
  <si>
    <t>Lugano</t>
  </si>
  <si>
    <t>Logistics &amp; Transportation</t>
  </si>
  <si>
    <t>Logistics &amp; Supply Chain</t>
  </si>
  <si>
    <t>Castellano</t>
  </si>
  <si>
    <t>lorenzo.castellano@bresciaonline.it</t>
  </si>
  <si>
    <t>https://www.linkedin.com/in/lorenzo-castellano-386ab9/</t>
  </si>
  <si>
    <t>Quantico Advisory S.r.l.</t>
  </si>
  <si>
    <t>Athena Private Equity SA</t>
  </si>
  <si>
    <t>01/2001</t>
  </si>
  <si>
    <t>Castello</t>
  </si>
  <si>
    <t>Giuditta</t>
  </si>
  <si>
    <t>gcastello@alixpartners.com</t>
  </si>
  <si>
    <t>giuditta.castello@gmail.com</t>
  </si>
  <si>
    <t>https://www.linkedin.com/in/giudittacastello/</t>
  </si>
  <si>
    <t>Studio Solidoro</t>
  </si>
  <si>
    <t>AlixPartners</t>
  </si>
  <si>
    <t>01/2004</t>
  </si>
  <si>
    <t>10/2011</t>
  </si>
  <si>
    <t>Sofia</t>
  </si>
  <si>
    <t>https://www.linkedin.com/in/sofia-castello-072b191a5/</t>
  </si>
  <si>
    <t>Gruppo Lactalis Italia</t>
  </si>
  <si>
    <t>Cattadori</t>
  </si>
  <si>
    <t>matteo.cattadori@hotmail.com</t>
  </si>
  <si>
    <t>https://www.linkedin.com/in/matteocattadori/</t>
  </si>
  <si>
    <t>Family Dental Center</t>
  </si>
  <si>
    <t>02/2021</t>
  </si>
  <si>
    <t>04/2024</t>
  </si>
  <si>
    <t>Cattaruzza</t>
  </si>
  <si>
    <t>cattaruzza98@gmail.com</t>
  </si>
  <si>
    <t>https://www.linkedin.com/in/alberto-cattaruzza-804a1a196/</t>
  </si>
  <si>
    <t>12/2024</t>
  </si>
  <si>
    <t>Cecchini</t>
  </si>
  <si>
    <t>Alex</t>
  </si>
  <si>
    <t>alex.cecchini@me.com</t>
  </si>
  <si>
    <t>https://www.linkedin.com/ilex-cecchini-579278/</t>
  </si>
  <si>
    <t>Bank J. Safra Sarasin Ltd</t>
  </si>
  <si>
    <t>LGT Private Banking</t>
  </si>
  <si>
    <t>Cefalà</t>
  </si>
  <si>
    <t>Luisa</t>
  </si>
  <si>
    <t>luisa.cefala@gmail.com</t>
  </si>
  <si>
    <t>https://www.linkedin.com/in/luisa-cefala-35346860/</t>
  </si>
  <si>
    <t>Cornell University</t>
  </si>
  <si>
    <t>University of California</t>
  </si>
  <si>
    <t>08/2023</t>
  </si>
  <si>
    <t>07/2025</t>
  </si>
  <si>
    <t>Head of Training</t>
  </si>
  <si>
    <t>Cella Mazzariol</t>
  </si>
  <si>
    <t>Riccardo</t>
  </si>
  <si>
    <t>riccardo.cellamazzariol@gmail.com</t>
  </si>
  <si>
    <t>riccardo.mazzariol@lazard.com</t>
  </si>
  <si>
    <t>https://www.linkedin.com/in/riccardo-cella-mazzariol-82827316b/</t>
  </si>
  <si>
    <t>DUBAG Group</t>
  </si>
  <si>
    <t>Cellini</t>
  </si>
  <si>
    <t>Franco</t>
  </si>
  <si>
    <t>francocellini@hotmail.com</t>
  </si>
  <si>
    <t>https://www.linkedin.com/in/franco-cellini-9a6586231/</t>
  </si>
  <si>
    <t>ENT Financial Advisers</t>
  </si>
  <si>
    <t>Salerno</t>
  </si>
  <si>
    <t>Centola</t>
  </si>
  <si>
    <t>antoniocentola@hotmail.com</t>
  </si>
  <si>
    <t>https://www.linkedin.com/intonio-centola-a8651aa/</t>
  </si>
  <si>
    <t>Sydney</t>
  </si>
  <si>
    <t>AU</t>
  </si>
  <si>
    <t>MTN</t>
  </si>
  <si>
    <t>Johannesburg</t>
  </si>
  <si>
    <t>ZA</t>
  </si>
  <si>
    <t>Cepparo</t>
  </si>
  <si>
    <t>Elia</t>
  </si>
  <si>
    <t>eliacepparo@gmail.com</t>
  </si>
  <si>
    <t>https://www.linkedin.com/in/elia-cepparo-b761861a7/</t>
  </si>
  <si>
    <t>Food &amp; Beverage</t>
  </si>
  <si>
    <t>Artcaffé</t>
  </si>
  <si>
    <t>Nairobi</t>
  </si>
  <si>
    <t>KE</t>
  </si>
  <si>
    <t>Head of International Business Development</t>
  </si>
  <si>
    <t>Cherubini</t>
  </si>
  <si>
    <t>Gianandrea</t>
  </si>
  <si>
    <t>gc191@gmail.com</t>
  </si>
  <si>
    <t>https://www.linkedin.com/in/gianandrea-cherubini-82a431</t>
  </si>
  <si>
    <t>Davis &amp; Morgan S.p.A.</t>
  </si>
  <si>
    <t>Vantage Investment Management</t>
  </si>
  <si>
    <t>07/2010</t>
  </si>
  <si>
    <t>02/2012</t>
  </si>
  <si>
    <t>Chiribella</t>
  </si>
  <si>
    <t>Eva</t>
  </si>
  <si>
    <t>eva.chiribella@gmail.com</t>
  </si>
  <si>
    <t>https://www.linkedin.com/in/evachiribella</t>
  </si>
  <si>
    <t>Distribution Technologies</t>
  </si>
  <si>
    <t>Glovo</t>
  </si>
  <si>
    <t>Chirivì</t>
  </si>
  <si>
    <t>Camilla</t>
  </si>
  <si>
    <t>camillachirivi@hotmail.it</t>
  </si>
  <si>
    <t>https://www.linkedin.com/in/camilla-chirivì-6437367/</t>
  </si>
  <si>
    <t>Banca Aletti</t>
  </si>
  <si>
    <t>Banco BPM</t>
  </si>
  <si>
    <t>Christodulopulos</t>
  </si>
  <si>
    <t>Christian</t>
  </si>
  <si>
    <t>christodulopulos@gmail.com</t>
  </si>
  <si>
    <t>cc66@georgetown.edu</t>
  </si>
  <si>
    <t>https://www.linkedin.com/in/christodulopulos</t>
  </si>
  <si>
    <t>OC&amp;C</t>
  </si>
  <si>
    <t>06/2004</t>
  </si>
  <si>
    <t>Cialliè</t>
  </si>
  <si>
    <t>elena.ciallie@ukgi.org.uk</t>
  </si>
  <si>
    <t>https://www.linkedin.com/in/elena-ciallie-44502310/</t>
  </si>
  <si>
    <t>UK Government Investments (UKGI)</t>
  </si>
  <si>
    <t>Illimity</t>
  </si>
  <si>
    <t>Cianci</t>
  </si>
  <si>
    <t>armandocianci1@gmail.com</t>
  </si>
  <si>
    <t>https://www.linkedin.com/irmandocianci</t>
  </si>
  <si>
    <t>Assist Digital</t>
  </si>
  <si>
    <t>Ciavoliello</t>
  </si>
  <si>
    <t>Innocenzo</t>
  </si>
  <si>
    <t>ciavolielloinnocenzo@gmail.com</t>
  </si>
  <si>
    <t>https://www.linkedin.com/in/innocenzo-ciavoliello-5377813</t>
  </si>
  <si>
    <t>Gartner</t>
  </si>
  <si>
    <t>Witailer</t>
  </si>
  <si>
    <t>10/2023</t>
  </si>
  <si>
    <t>Cicchini</t>
  </si>
  <si>
    <t>Pasquo</t>
  </si>
  <si>
    <t>Massimo</t>
  </si>
  <si>
    <t>pasquo.cicchini@excelleragroup.com</t>
  </si>
  <si>
    <t>https://www.linkedin.com/in/pasquo-cicchini-0a865b1/</t>
  </si>
  <si>
    <t>Excellera Advisory Group</t>
  </si>
  <si>
    <t>Community</t>
  </si>
  <si>
    <t>Cifrodelli</t>
  </si>
  <si>
    <t>alberto.cifrodelli@studbocconi.it</t>
  </si>
  <si>
    <t>https://www.linkedin.com/in/albertocifrodelli</t>
  </si>
  <si>
    <t>BNP Paribas CIB</t>
  </si>
  <si>
    <t>Resolute Asset Management</t>
  </si>
  <si>
    <t>Cilli</t>
  </si>
  <si>
    <t>edoardocilli@gmail.com</t>
  </si>
  <si>
    <t>cilli.edoardo@bcg.com</t>
  </si>
  <si>
    <t>https://www.linkedin.com/in/edoardocilli</t>
  </si>
  <si>
    <t>Oliver Wyman</t>
  </si>
  <si>
    <t>06/2017</t>
  </si>
  <si>
    <t>Cionini Visani</t>
  </si>
  <si>
    <t>camillacioninivisani@gmail.com</t>
  </si>
  <si>
    <t>https://www.linkedin.com/in/camilla-cionini-visani-581aa3/</t>
  </si>
  <si>
    <t>ItaliaFintech</t>
  </si>
  <si>
    <t>FONDAZIONE BASSIRI</t>
  </si>
  <si>
    <t>07/2020</t>
  </si>
  <si>
    <t>Fabro</t>
  </si>
  <si>
    <t>Entertainment</t>
  </si>
  <si>
    <t>Colla</t>
  </si>
  <si>
    <t>Valentina</t>
  </si>
  <si>
    <t>collavalentina@hotmail.it</t>
  </si>
  <si>
    <t>https://www.linkedin.com/in/valentina-colla-7178b73/</t>
  </si>
  <si>
    <t>Recarlo</t>
  </si>
  <si>
    <t>DoDo Jewels</t>
  </si>
  <si>
    <t>03/2020</t>
  </si>
  <si>
    <t>Luxury</t>
  </si>
  <si>
    <t>Collins</t>
  </si>
  <si>
    <t>John</t>
  </si>
  <si>
    <t>john@collinsadvisor.com</t>
  </si>
  <si>
    <t>https://www.linkedin.com/in/john-collins-250748374/</t>
  </si>
  <si>
    <t>New Alpha Asset Management</t>
  </si>
  <si>
    <t>Colombo</t>
  </si>
  <si>
    <t>Colucci</t>
  </si>
  <si>
    <t>Claudio</t>
  </si>
  <si>
    <t>claudiocolucci9@gmail.com</t>
  </si>
  <si>
    <t>https://www.linkedin.com/in/claudio-colucci-ab2341151/</t>
  </si>
  <si>
    <t>Comerlati</t>
  </si>
  <si>
    <t>Mirko</t>
  </si>
  <si>
    <t>mirco.comerlati@gmail.com</t>
  </si>
  <si>
    <t>https://www.linkedin.com/in/mirko-comerlati/</t>
  </si>
  <si>
    <t>e-Novia</t>
  </si>
  <si>
    <t>EatFirst (Rocket Internet SE)</t>
  </si>
  <si>
    <t>JE Italy Advisor</t>
  </si>
  <si>
    <t>Comi</t>
  </si>
  <si>
    <t>Mauricio</t>
  </si>
  <si>
    <t>mauricio.comi@gmail.com</t>
  </si>
  <si>
    <t>https://www.linkedin.com/in/mcomi/</t>
  </si>
  <si>
    <t>Stealth Startup</t>
  </si>
  <si>
    <t>San Francisco</t>
  </si>
  <si>
    <t>Dutchie</t>
  </si>
  <si>
    <t>06/2023</t>
  </si>
  <si>
    <t>Startup</t>
  </si>
  <si>
    <t>Cominelli</t>
  </si>
  <si>
    <t>Barbara</t>
  </si>
  <si>
    <t>barbara.cominelli@gmail.com</t>
  </si>
  <si>
    <t>https://www.linkedin.com/in/barbaracominelli/</t>
  </si>
  <si>
    <t>Spindox</t>
  </si>
  <si>
    <t>Microsoft</t>
  </si>
  <si>
    <t>03/2018</t>
  </si>
  <si>
    <t>Commaroto Roverini</t>
  </si>
  <si>
    <t>Brian</t>
  </si>
  <si>
    <t>briancommaroto@gmail.com</t>
  </si>
  <si>
    <t>https://www.linkedin.com/in/brian-commaroto-roverini-6a675b6/</t>
  </si>
  <si>
    <t>U.S. Department of State</t>
  </si>
  <si>
    <t>JetBlue</t>
  </si>
  <si>
    <t>Comunello</t>
  </si>
  <si>
    <t>Federica</t>
  </si>
  <si>
    <t>federicacomunello@hotmail.it</t>
  </si>
  <si>
    <t>https://www.linkedin.com/in/federica-comunello-10169562/</t>
  </si>
  <si>
    <t>Bayview Italia</t>
  </si>
  <si>
    <t>01/2011</t>
  </si>
  <si>
    <t>laura.comunello@gmail.com</t>
  </si>
  <si>
    <t>https://www.linkedin.com/in/laura-comunello-8469b56/</t>
  </si>
  <si>
    <t>Michael Page</t>
  </si>
  <si>
    <t>Contino</t>
  </si>
  <si>
    <t>Gabriele</t>
  </si>
  <si>
    <t>gabriele.contino@gmail.com</t>
  </si>
  <si>
    <t>https://www.linkedin.com/in/gabrielecontino/</t>
  </si>
  <si>
    <t>Contrini</t>
  </si>
  <si>
    <t>contrini@me.com</t>
  </si>
  <si>
    <t>https://www.linkedin.com/in/michele-contrini-5434161b/</t>
  </si>
  <si>
    <t>Clara Event Management</t>
  </si>
  <si>
    <t>Letsell</t>
  </si>
  <si>
    <t>Conzi</t>
  </si>
  <si>
    <t>Giovanna</t>
  </si>
  <si>
    <t>giovanna_conzi@yahoo.it</t>
  </si>
  <si>
    <t>https://www.linkedin.com/in/giovanna-conzi-39a6057/</t>
  </si>
  <si>
    <t>Reale Group</t>
  </si>
  <si>
    <t>Generali</t>
  </si>
  <si>
    <t>04/2014</t>
  </si>
  <si>
    <t>Corbetta</t>
  </si>
  <si>
    <t>Aldo</t>
  </si>
  <si>
    <t>matteo.corbetta@tin.it</t>
  </si>
  <si>
    <t>https://www.linkedin.com/in/matteocorbetta/</t>
  </si>
  <si>
    <t>Otto Walter International</t>
  </si>
  <si>
    <t>Atış</t>
  </si>
  <si>
    <t>11/2022</t>
  </si>
  <si>
    <t>Cornaggia</t>
  </si>
  <si>
    <t>Raffaella</t>
  </si>
  <si>
    <t>raffaella.cornaggia@kering.com</t>
  </si>
  <si>
    <t>https://www.linkedin.com/in/raffaella-cornaggia-4382245/</t>
  </si>
  <si>
    <t>Kering Beauté</t>
  </si>
  <si>
    <t>The Estée Lauder Companies Inc.</t>
  </si>
  <si>
    <t>12/2022</t>
  </si>
  <si>
    <t>Beauty &amp; Cosmetics</t>
  </si>
  <si>
    <t>Corona</t>
  </si>
  <si>
    <t>Giangiacomo</t>
  </si>
  <si>
    <t>giangiacomocorona@hotmail.it</t>
  </si>
  <si>
    <t>https://www.linkedin.com/in/giangiacomocorona</t>
  </si>
  <si>
    <t>LG Electronics Italia</t>
  </si>
  <si>
    <t>Samsung Electronics</t>
  </si>
  <si>
    <t>Corsi</t>
  </si>
  <si>
    <t>matteocorsi1@hotmail.it</t>
  </si>
  <si>
    <t>https://www.linkedin.com/in/matteo-corsi/</t>
  </si>
  <si>
    <t>N26</t>
  </si>
  <si>
    <t>Berlin</t>
  </si>
  <si>
    <t>Costa</t>
  </si>
  <si>
    <t>Giuliana</t>
  </si>
  <si>
    <t>gcosta@polimi.it</t>
  </si>
  <si>
    <t>https://www.linkedin.com/in/giuliana-costa-0464a952/</t>
  </si>
  <si>
    <t>Politecnico di Milano</t>
  </si>
  <si>
    <t>Beatrice</t>
  </si>
  <si>
    <t>costa.beatricemaria@gmail.com</t>
  </si>
  <si>
    <t>beatricecosta22@gmail.com</t>
  </si>
  <si>
    <t>https://www.linkedin.com/in/beatrice-costa-949926a2/</t>
  </si>
  <si>
    <t>Taktile</t>
  </si>
  <si>
    <t>Costantini</t>
  </si>
  <si>
    <t>Elisa</t>
  </si>
  <si>
    <t>costantini.e@gmail.com</t>
  </si>
  <si>
    <t>https://www.linkedin.com/in/ecostantini/</t>
  </si>
  <si>
    <t>Strumenta</t>
  </si>
  <si>
    <t>Evo Pricing</t>
  </si>
  <si>
    <t>Cremaschi</t>
  </si>
  <si>
    <t>cremaschipietro99@gmail.com</t>
  </si>
  <si>
    <t>https://www.linkedin.com/in/pietrocremaschi/</t>
  </si>
  <si>
    <t>11/2024</t>
  </si>
  <si>
    <t>Crippa</t>
  </si>
  <si>
    <t>teocrippa@hotmail.it</t>
  </si>
  <si>
    <t>matteo.crippa@tkelevator.com</t>
  </si>
  <si>
    <t>https://www.linkedin.com/in/matteo-crippa-3781b06b/</t>
  </si>
  <si>
    <t>TK Elevator</t>
  </si>
  <si>
    <t>Croci</t>
  </si>
  <si>
    <t>giorgiocroci98@gmail.com</t>
  </si>
  <si>
    <t>https://www.linkedin.com/in/giorgio-croci-73b0b7139/</t>
  </si>
  <si>
    <t>CMC Capital</t>
  </si>
  <si>
    <t>Santander Corporate &amp; Investment Banking</t>
  </si>
  <si>
    <t>Croitor</t>
  </si>
  <si>
    <t>Irina</t>
  </si>
  <si>
    <t>irina.croitor@gmail.com</t>
  </si>
  <si>
    <t>https://www.linkedin.com/in/irina-croitor-a882b531/</t>
  </si>
  <si>
    <t>Not Working Right Now</t>
  </si>
  <si>
    <t>GE Capital</t>
  </si>
  <si>
    <t>Cvetkovic</t>
  </si>
  <si>
    <t>Uros</t>
  </si>
  <si>
    <t>uros.sci@gmail.com</t>
  </si>
  <si>
    <t>https://www.linkedin.com/in/uroscvetkovic/</t>
  </si>
  <si>
    <t>D'Achille</t>
  </si>
  <si>
    <t>Leonardo</t>
  </si>
  <si>
    <t>leonardo.dachille@jeme.it</t>
  </si>
  <si>
    <t>leonardo.dachill@gmail.com</t>
  </si>
  <si>
    <t>https://www.linkedin.com/in/leonardodachille/</t>
  </si>
  <si>
    <t>D'Angelo</t>
  </si>
  <si>
    <t>Massimiliano</t>
  </si>
  <si>
    <t>massimiliano.dangelo@gmail.com</t>
  </si>
  <si>
    <t>https://www.linkedin.com/in/digital-manager/</t>
  </si>
  <si>
    <t>Value Partners</t>
  </si>
  <si>
    <t>Exage S.p.A.</t>
  </si>
  <si>
    <t>10/2016</t>
  </si>
  <si>
    <t>09/2018</t>
  </si>
  <si>
    <t>francesco.dangelo@bain.com</t>
  </si>
  <si>
    <t>dangelofrancesco92@gmail.com</t>
  </si>
  <si>
    <t>https://www.linkedin.com/in/dangelofrancesco</t>
  </si>
  <si>
    <t>D'Armi</t>
  </si>
  <si>
    <t>mariodarmi@gmail.com</t>
  </si>
  <si>
    <t>https://www.linkedin.com/in/mario-d-armi/</t>
  </si>
  <si>
    <t>D'Emilia</t>
  </si>
  <si>
    <t>Ludovica</t>
  </si>
  <si>
    <t>ludovicademilia@gmail.com</t>
  </si>
  <si>
    <t>https://www.linkedin.com/in/ludovica-d-emilia-76396b118/</t>
  </si>
  <si>
    <t>Monitor Deloitte</t>
  </si>
  <si>
    <t>06/2018</t>
  </si>
  <si>
    <t>Da Mommio</t>
  </si>
  <si>
    <t>giacomo.da.mommio@me.com</t>
  </si>
  <si>
    <t>https://www.linkedin.com/in/giacomodamommio/</t>
  </si>
  <si>
    <t>Dabergami</t>
  </si>
  <si>
    <t>Davide</t>
  </si>
  <si>
    <t>davide.dabergami@gmail.com</t>
  </si>
  <si>
    <t>https://www.linkedin.com/in/davide-dabergami-97635121</t>
  </si>
  <si>
    <t>Società Italiana Brevetti (SIB)</t>
  </si>
  <si>
    <t>Barzanò &amp; Zanardo</t>
  </si>
  <si>
    <t>03/2017</t>
  </si>
  <si>
    <t>Dadone</t>
  </si>
  <si>
    <t>aledadone@gmail.com</t>
  </si>
  <si>
    <t>https://www.linkedin.com/ilessandro-dadone-23196318</t>
  </si>
  <si>
    <t>Qonto</t>
  </si>
  <si>
    <t>Dall'Armellina</t>
  </si>
  <si>
    <t>jacopo.dallarmellina@hotmail.it</t>
  </si>
  <si>
    <t>https://www.linkedin.com/in/jacopo-dall-armellina-b25a5410/</t>
  </si>
  <si>
    <t>Banca Finint</t>
  </si>
  <si>
    <t>12/2011</t>
  </si>
  <si>
    <t>07/2018</t>
  </si>
  <si>
    <t>Dallò</t>
  </si>
  <si>
    <t>Enrico</t>
  </si>
  <si>
    <t>enrico.dallo@hhimp.eu</t>
  </si>
  <si>
    <t>enrico@stand-up.city</t>
  </si>
  <si>
    <t>https://www.linkedin.com/in/enricodallo/</t>
  </si>
  <si>
    <t>Stand Up City</t>
  </si>
  <si>
    <t>YOOX</t>
  </si>
  <si>
    <t>09/2014</t>
  </si>
  <si>
    <t>12/2017</t>
  </si>
  <si>
    <t>De Angeli</t>
  </si>
  <si>
    <t>pdeangeli81@gmail.com</t>
  </si>
  <si>
    <t>https://www.linkedin.com/in/paolo-de-angeli-cpp-b232b85/</t>
  </si>
  <si>
    <t>Borealis</t>
  </si>
  <si>
    <t>Vienna</t>
  </si>
  <si>
    <t>Syngenta</t>
  </si>
  <si>
    <t>05/2014</t>
  </si>
  <si>
    <t>AT</t>
  </si>
  <si>
    <t>De Antoni</t>
  </si>
  <si>
    <t>Claudia</t>
  </si>
  <si>
    <t>claudiadeantoni@gmail.com</t>
  </si>
  <si>
    <t>https://www.linkedin.com/in/claudiadeantoni/</t>
  </si>
  <si>
    <t>TeamSystem</t>
  </si>
  <si>
    <t>Earth and Beyond Ventures</t>
  </si>
  <si>
    <t>Tel Aviv</t>
  </si>
  <si>
    <t>IL</t>
  </si>
  <si>
    <t>De Benedetto</t>
  </si>
  <si>
    <t>davide.benedetto@gmail.com</t>
  </si>
  <si>
    <t>https://www.linkedin.com/in/davide-de-benedetto-535a38145</t>
  </si>
  <si>
    <t>KPMG Italy</t>
  </si>
  <si>
    <t>SDA Bocconi</t>
  </si>
  <si>
    <t>06/2020</t>
  </si>
  <si>
    <t>De Blasi</t>
  </si>
  <si>
    <t>Pierpaolo</t>
  </si>
  <si>
    <t>pierpaolo.deblasi@unito.it</t>
  </si>
  <si>
    <t>https://www.linkedin.com/in/pierpaolo-de-blasi-921a032b/</t>
  </si>
  <si>
    <t>Università degli Studi di Torino</t>
  </si>
  <si>
    <t>CHECK</t>
  </si>
  <si>
    <t>De Fernex</t>
  </si>
  <si>
    <t>Carolina</t>
  </si>
  <si>
    <t>carol.defernex@gmail.com</t>
  </si>
  <si>
    <t>https://www.linkedin.com/in/carolina-de-fernex-335b2a7</t>
  </si>
  <si>
    <t>DeepTrace Technologies</t>
  </si>
  <si>
    <t>04/2023</t>
  </si>
  <si>
    <t>De Florio</t>
  </si>
  <si>
    <t>defloriofede@gmail.com</t>
  </si>
  <si>
    <t>https://www.linkedin.com/in/federicodeflorio/</t>
  </si>
  <si>
    <t>De Giorgi</t>
  </si>
  <si>
    <t>Diego</t>
  </si>
  <si>
    <t>diego.degiorgi@sc.com</t>
  </si>
  <si>
    <t>https://www.linkedin.com/in/diego-de-giorgi/</t>
  </si>
  <si>
    <t>Standard Chartered</t>
  </si>
  <si>
    <t>Veronique</t>
  </si>
  <si>
    <t>Morghen</t>
  </si>
  <si>
    <t>https://www.linkedin.com/in/veronique-de-giorgi-914322/</t>
  </si>
  <si>
    <t>UVA Advancement</t>
  </si>
  <si>
    <t>Charlottesville</t>
  </si>
  <si>
    <t>De Giovanni</t>
  </si>
  <si>
    <t>Pamela</t>
  </si>
  <si>
    <t>pdegiovanni@solmax.com</t>
  </si>
  <si>
    <t>https://www.linkedin.com/in/pamela-de-giovanni-bb65171/</t>
  </si>
  <si>
    <t>Solmax</t>
  </si>
  <si>
    <t>Jefferson</t>
  </si>
  <si>
    <t>Equifax</t>
  </si>
  <si>
    <t>04/2025</t>
  </si>
  <si>
    <t>Atlanta</t>
  </si>
  <si>
    <t>Georgia</t>
  </si>
  <si>
    <t>De Luca</t>
  </si>
  <si>
    <t>Attilio</t>
  </si>
  <si>
    <t>agdeluca@unict.it</t>
  </si>
  <si>
    <t>attilio_de@yahoo.it</t>
  </si>
  <si>
    <t>https://www.linkedin.com/in/attilio-de-luca-76a1757/</t>
  </si>
  <si>
    <t>Università di Catania</t>
  </si>
  <si>
    <t>Catania</t>
  </si>
  <si>
    <t>07/2011</t>
  </si>
  <si>
    <t>12/2013</t>
  </si>
  <si>
    <t>De Maio</t>
  </si>
  <si>
    <t>Vincenza</t>
  </si>
  <si>
    <t>demaioviria@gmail.com</t>
  </si>
  <si>
    <t>https://www.linkedin.com/in/vincenza-maria-de-maio-b4b698169/</t>
  </si>
  <si>
    <t>Marsh</t>
  </si>
  <si>
    <t>De Matteis</t>
  </si>
  <si>
    <t>marionicdematteis@gmail.com</t>
  </si>
  <si>
    <t>https://www.linkedin.com/in/mario-nicolo-de-matteis/</t>
  </si>
  <si>
    <t>Point72</t>
  </si>
  <si>
    <t>HIOP</t>
  </si>
  <si>
    <t>De Natale</t>
  </si>
  <si>
    <t>Lucio</t>
  </si>
  <si>
    <t>De Padova</t>
  </si>
  <si>
    <t>valentina.depadova@gmail.com</t>
  </si>
  <si>
    <t>De Pascalis</t>
  </si>
  <si>
    <t>Daniele</t>
  </si>
  <si>
    <t>daniele.depascalis@gmail.com</t>
  </si>
  <si>
    <t>https://www.linkedin.com/in/daniele-de-pascalis/</t>
  </si>
  <si>
    <t>Aurora Del Salento Srl</t>
  </si>
  <si>
    <t>Lecce</t>
  </si>
  <si>
    <t>Melograni Martino</t>
  </si>
  <si>
    <t>Debenedetti</t>
  </si>
  <si>
    <t>tommasodebenedetti@hotmail.com</t>
  </si>
  <si>
    <t>https://www.linkedin.com/in/tommaso-debenedetti-71b47b1/</t>
  </si>
  <si>
    <t>Bain Capital</t>
  </si>
  <si>
    <t>Del Grande</t>
  </si>
  <si>
    <t>giacomo.delgrande@gmail.com</t>
  </si>
  <si>
    <t>https://www.linkedin.com/in/giacomodelgrande</t>
  </si>
  <si>
    <t>Jolt Capital</t>
  </si>
  <si>
    <t>Private Equity and Venture Capital Portfolio Companies</t>
  </si>
  <si>
    <t>Del Re</t>
  </si>
  <si>
    <t>Simona</t>
  </si>
  <si>
    <t>sdelre@yahoo.it</t>
  </si>
  <si>
    <t>https://www.linkedin.com/in/simona-del-re-0a85782/</t>
  </si>
  <si>
    <t>The Italian Sea Group S.P.A (Currently On A Sabbatical)</t>
  </si>
  <si>
    <t>Viareggio</t>
  </si>
  <si>
    <t>Perini Navi</t>
  </si>
  <si>
    <t>02/2018</t>
  </si>
  <si>
    <t>03/2022</t>
  </si>
  <si>
    <t>Del Vecchio</t>
  </si>
  <si>
    <t>armando.delvecchioat@gmail.com</t>
  </si>
  <si>
    <t>Dell'Acqua</t>
  </si>
  <si>
    <t>Cristiana</t>
  </si>
  <si>
    <t>cristianadellacqua@hotmail.com</t>
  </si>
  <si>
    <t>Della Vedova</t>
  </si>
  <si>
    <t>https://www.linkedin.com/ilessia-dellavedova/</t>
  </si>
  <si>
    <t>Ls Lexjus Sinacta</t>
  </si>
  <si>
    <t>Russo De Rosa Associati</t>
  </si>
  <si>
    <t>Delogu</t>
  </si>
  <si>
    <t>Giorgia</t>
  </si>
  <si>
    <t>giorgia.delogu@citi.com</t>
  </si>
  <si>
    <t>https://www.linkedin.com/in/giorgia-delogu-0732a212b/</t>
  </si>
  <si>
    <t>Deluchi</t>
  </si>
  <si>
    <t>https://www.linkedin.com/in/micheledeluchi/</t>
  </si>
  <si>
    <t>Bcg Platinion</t>
  </si>
  <si>
    <t>NNIT</t>
  </si>
  <si>
    <t>Copenhagen</t>
  </si>
  <si>
    <t>Demozzi</t>
  </si>
  <si>
    <t>Veronica</t>
  </si>
  <si>
    <t>v.demozzi@gmail.com</t>
  </si>
  <si>
    <t>https://www.linkedin.com/in/veronica-demozzi-838a81b/</t>
  </si>
  <si>
    <t>Abb E-Mobility</t>
  </si>
  <si>
    <t>Barry Callebaut Group</t>
  </si>
  <si>
    <t>Denza</t>
  </si>
  <si>
    <t>ld323@cornell.edu</t>
  </si>
  <si>
    <t>https://www.linkedin.com/in/ludovico-denza-338b661/</t>
  </si>
  <si>
    <t>AURELIUS</t>
  </si>
  <si>
    <t>Deri</t>
  </si>
  <si>
    <t>marco.deri@jeme.it</t>
  </si>
  <si>
    <t>marcoderi.w@gmail.com</t>
  </si>
  <si>
    <t>https://www.linkedin.com/in/marco-deri/</t>
  </si>
  <si>
    <t>Boston Consulting Group (Bcg)</t>
  </si>
  <si>
    <t>Roland Berger</t>
  </si>
  <si>
    <t>Di Benedetto</t>
  </si>
  <si>
    <t>andrea.dibenedetto@ftidelta.com</t>
  </si>
  <si>
    <t>https://www.linkedin.com/in/andrea-di-benedetto-bbb463111/</t>
  </si>
  <si>
    <t>City Football Group</t>
  </si>
  <si>
    <t>Riyadh</t>
  </si>
  <si>
    <t>SA</t>
  </si>
  <si>
    <t>Delta Partners</t>
  </si>
  <si>
    <t>Di Biagio</t>
  </si>
  <si>
    <t>sarab@netflix.com</t>
  </si>
  <si>
    <t>https://www.linkedin.com/in/sara-di-biagio-a91739116</t>
  </si>
  <si>
    <t>Netflix</t>
  </si>
  <si>
    <t>09/2023</t>
  </si>
  <si>
    <t>Di Gesaro</t>
  </si>
  <si>
    <t>Giuseppe</t>
  </si>
  <si>
    <t>giuseppedigesaro96@gmail.com</t>
  </si>
  <si>
    <t>https://www.linkedin.com/in/giuseppe-di-gesaro/</t>
  </si>
  <si>
    <t>Di Giovanni</t>
  </si>
  <si>
    <t>paolodigiovanni1@gmail.com</t>
  </si>
  <si>
    <t>https://www.linkedin.com/in/paolodigiovanni1</t>
  </si>
  <si>
    <t>Tortorella Swimming Pools</t>
  </si>
  <si>
    <t>Timberwind Capital Partners</t>
  </si>
  <si>
    <t>Di Lenarda</t>
  </si>
  <si>
    <t>mattedile99@gmail.com</t>
  </si>
  <si>
    <t>matteodilenarda@gmail.com</t>
  </si>
  <si>
    <t>https://www.linkedin.com/in/matteo-di-lenarda/</t>
  </si>
  <si>
    <t>Luxcara</t>
  </si>
  <si>
    <t>Hamburg</t>
  </si>
  <si>
    <t>Tion Renewables</t>
  </si>
  <si>
    <t>Di Natale</t>
  </si>
  <si>
    <t>Valeria</t>
  </si>
  <si>
    <t>dinatalevaleria@gmail.com</t>
  </si>
  <si>
    <t>https://www.linkedin.com/in/valeriadinatale</t>
  </si>
  <si>
    <t>Corporate Hangar</t>
  </si>
  <si>
    <t>Cultifutura</t>
  </si>
  <si>
    <t>Di Ninni</t>
  </si>
  <si>
    <t>Carmine</t>
  </si>
  <si>
    <t>federicodininni00@gmail.com</t>
  </si>
  <si>
    <t>https://www.linkedin.com/in/federico-carmine-di-ninni</t>
  </si>
  <si>
    <t>Bnp Paribas Cib</t>
  </si>
  <si>
    <t>Arkios Italy</t>
  </si>
  <si>
    <t>Di Pietrantonio</t>
  </si>
  <si>
    <t>andricon@hotmail.it</t>
  </si>
  <si>
    <t>https://www.linkedin.com/in/andreadipietrantonio/</t>
  </si>
  <si>
    <t>Iceye</t>
  </si>
  <si>
    <t>Helsinki</t>
  </si>
  <si>
    <t>FI</t>
  </si>
  <si>
    <t>Di Ridolfi</t>
  </si>
  <si>
    <t>federica.diridolfi@alma-led.com</t>
  </si>
  <si>
    <t>https://www.linkedin.com/in/federica-di-ridolfi-669841151/</t>
  </si>
  <si>
    <t>Alma Led</t>
  </si>
  <si>
    <t>Chiomenti</t>
  </si>
  <si>
    <t>02/2024</t>
  </si>
  <si>
    <t>Doppiu</t>
  </si>
  <si>
    <t>gabriele.doppiu@jeme.it</t>
  </si>
  <si>
    <t>gabriele.doppiu@quantis.com</t>
  </si>
  <si>
    <t>https://www.linkedin.com/in/gabriele-doppiu/</t>
  </si>
  <si>
    <t>Quantis</t>
  </si>
  <si>
    <t>Carbonsink</t>
  </si>
  <si>
    <t>Dragonetti</t>
  </si>
  <si>
    <t>Fulvia</t>
  </si>
  <si>
    <t>aivluf84@hotmail.it</t>
  </si>
  <si>
    <t>https://www.linkedin.com/in/fulvia-dragonetti-4059b46/</t>
  </si>
  <si>
    <t>Deloitte</t>
  </si>
  <si>
    <t>Bosch</t>
  </si>
  <si>
    <t>04/2008</t>
  </si>
  <si>
    <t>08/2008</t>
  </si>
  <si>
    <t>Durbiano</t>
  </si>
  <si>
    <t>Lidia</t>
  </si>
  <si>
    <t>durbiano.lidia@gmail.com</t>
  </si>
  <si>
    <t>https://www.linkedin.com/in/lidia-durbiano/</t>
  </si>
  <si>
    <t>Prada</t>
  </si>
  <si>
    <t>08/2025</t>
  </si>
  <si>
    <t>Esentato</t>
  </si>
  <si>
    <t>Maurizio</t>
  </si>
  <si>
    <t>m.esentato@classiscapital.it</t>
  </si>
  <si>
    <t>https://www.linkedin.com/in/maurizio-g-esentato-922528a/</t>
  </si>
  <si>
    <t>Classis Capital Sim</t>
  </si>
  <si>
    <t>Brain &amp; Co.</t>
  </si>
  <si>
    <t>Fabbrini</t>
  </si>
  <si>
    <t>francesco.fabbrini@gmail.com</t>
  </si>
  <si>
    <t>https://www.linkedin.com/in/francescofabbrini</t>
  </si>
  <si>
    <t>09/2016</t>
  </si>
  <si>
    <t>Fabbro</t>
  </si>
  <si>
    <t>l.fabbro@fisaitaly.com</t>
  </si>
  <si>
    <t>https://www.linkedin.com/in/leonardo-fabbro-b18168b4/</t>
  </si>
  <si>
    <t>F.I.S.A. Fabbrica Italiana Sedili Autoferroviari S.R.L.</t>
  </si>
  <si>
    <t>Faggion</t>
  </si>
  <si>
    <t>francesca.faggion@gmail.com</t>
  </si>
  <si>
    <t>https://www.linkedin.com/in/francesca-faggion</t>
  </si>
  <si>
    <t>Gsk</t>
  </si>
  <si>
    <t>Chesi Group</t>
  </si>
  <si>
    <t>Parma</t>
  </si>
  <si>
    <t>Head of Network</t>
  </si>
  <si>
    <t>Falanga</t>
  </si>
  <si>
    <t>Pablo</t>
  </si>
  <si>
    <t>pablo.falanga@libero.it</t>
  </si>
  <si>
    <t>https://www.linkedin.com/in/pablo-falanga-563814/</t>
  </si>
  <si>
    <t>Gruppo Mediaset</t>
  </si>
  <si>
    <t>Sky Italia</t>
  </si>
  <si>
    <t>12/2006</t>
  </si>
  <si>
    <t>03/2009</t>
  </si>
  <si>
    <t>Media &amp; Marketing</t>
  </si>
  <si>
    <t>Fara</t>
  </si>
  <si>
    <t>carlofara@yahoo.it</t>
  </si>
  <si>
    <t>https://www.linkedin.com/in/carlo-fara-26a2979</t>
  </si>
  <si>
    <t>Public Admin</t>
  </si>
  <si>
    <t>Sumitomo Mitsui Banking Corporation</t>
  </si>
  <si>
    <t>Tokyo</t>
  </si>
  <si>
    <t>JP</t>
  </si>
  <si>
    <t>Farinati</t>
  </si>
  <si>
    <t>giacomo.farinati.p@gmail.com</t>
  </si>
  <si>
    <t>giacomo.farinati@jeme.it</t>
  </si>
  <si>
    <t>https://www.linkedin.com/in/giacomo-farinati-b4905b113/</t>
  </si>
  <si>
    <t>Hogan Lovells</t>
  </si>
  <si>
    <t>Legance – Avvocati Associati</t>
  </si>
  <si>
    <t>Fasiello</t>
  </si>
  <si>
    <t>francescofasiello@gmail.com</t>
  </si>
  <si>
    <t>francesco.fasiello@ec.europa.eu</t>
  </si>
  <si>
    <t>https://www.linkedin.com/in/francescofasiello/</t>
  </si>
  <si>
    <t>ProntoPro</t>
  </si>
  <si>
    <t>Communications Manager</t>
  </si>
  <si>
    <t>Fattorini</t>
  </si>
  <si>
    <t>https://www.linkedin.com/ilex-fattorini-263999/</t>
  </si>
  <si>
    <t>Mcarthurglen Group</t>
  </si>
  <si>
    <t>Primonial REIM Italy</t>
  </si>
  <si>
    <t>Fazia</t>
  </si>
  <si>
    <t>Giannicola</t>
  </si>
  <si>
    <t>giannifazia@hotmail.com</t>
  </si>
  <si>
    <t>https://www.linkedin.com/in/giannicolafazia/</t>
  </si>
  <si>
    <t>Dhl</t>
  </si>
  <si>
    <t>Bonn</t>
  </si>
  <si>
    <t>Henkel</t>
  </si>
  <si>
    <t>Düsseldorf</t>
  </si>
  <si>
    <t>Operations</t>
  </si>
  <si>
    <t>Fede Brugnera</t>
  </si>
  <si>
    <t>federica_brugnera@yahoo.it</t>
  </si>
  <si>
    <t>https://www.linkedin.com/in/federica-fede-b-8527771/</t>
  </si>
  <si>
    <t>Bancomat</t>
  </si>
  <si>
    <t>02/2025</t>
  </si>
  <si>
    <t>12/2025</t>
  </si>
  <si>
    <t>Fedel</t>
  </si>
  <si>
    <t>ffedel@activevalue.eu</t>
  </si>
  <si>
    <t>fabio.fedel@people-yield.com</t>
  </si>
  <si>
    <t>https://www.linkedin.com/in/fabiofedel/</t>
  </si>
  <si>
    <t>People Yield</t>
  </si>
  <si>
    <t>Active Value Advisors</t>
  </si>
  <si>
    <t>Felici</t>
  </si>
  <si>
    <t>mfelici19@gmail.com</t>
  </si>
  <si>
    <t>https://www.linkedin.com/in/marco-felici-2631b495/</t>
  </si>
  <si>
    <t>Frankfurt am Main</t>
  </si>
  <si>
    <t>University of Cambridge</t>
  </si>
  <si>
    <t>Cambridge</t>
  </si>
  <si>
    <t>Feller</t>
  </si>
  <si>
    <t>luca_feller@yahoo.it</t>
  </si>
  <si>
    <t>https://www.linkedin.com/in/lucafeller/</t>
  </si>
  <si>
    <t>Banca Ifigest</t>
  </si>
  <si>
    <t>Fenaroli</t>
  </si>
  <si>
    <t>matteo@huware.com</t>
  </si>
  <si>
    <t>https://www.linkedin.com/in/fenarolimatteo</t>
  </si>
  <si>
    <t>Huware</t>
  </si>
  <si>
    <t>04/2004</t>
  </si>
  <si>
    <t>31/12/2000</t>
  </si>
  <si>
    <t>Fera</t>
  </si>
  <si>
    <t>https://www.linkedin.com/in/mario-fera-95150a1/</t>
  </si>
  <si>
    <t>Clessidra</t>
  </si>
  <si>
    <t>Italcementi</t>
  </si>
  <si>
    <t>11/2010</t>
  </si>
  <si>
    <t>Ferdani</t>
  </si>
  <si>
    <t>matteo.ferdani@gmail.com</t>
  </si>
  <si>
    <t>https://www.linkedin.com/in/matteo-ferdani-213b2890/</t>
  </si>
  <si>
    <t>Eqt Group</t>
  </si>
  <si>
    <t>Ferrario</t>
  </si>
  <si>
    <t>michele@ferrario.net</t>
  </si>
  <si>
    <t>https://www.linkedin.com/in/michele-ferrario-a464211/</t>
  </si>
  <si>
    <t>Stashaway</t>
  </si>
  <si>
    <t>Singapore</t>
  </si>
  <si>
    <t>SG</t>
  </si>
  <si>
    <t>Peakers</t>
  </si>
  <si>
    <t>Los Angeles</t>
  </si>
  <si>
    <t>Ferretti</t>
  </si>
  <si>
    <t>valentina.ferretti@yahoo.it</t>
  </si>
  <si>
    <t>https://www.linkedin.com/in/valentinaferrettimanager/</t>
  </si>
  <si>
    <t>Fb Family Office</t>
  </si>
  <si>
    <t>Vodafone Business</t>
  </si>
  <si>
    <t>Ferri</t>
  </si>
  <si>
    <t>francesco.ferri@innext.it</t>
  </si>
  <si>
    <t>https://www.linkedin.com/in/fraferri</t>
  </si>
  <si>
    <t>07/2003</t>
  </si>
  <si>
    <t>President of CIJE</t>
  </si>
  <si>
    <t>Ferro</t>
  </si>
  <si>
    <t>giuliaferro98@libero.it</t>
  </si>
  <si>
    <t>https://www.linkedin.com/in/giulia-ferro-8b265218b/</t>
  </si>
  <si>
    <t>Park Square Capital</t>
  </si>
  <si>
    <t>Fibbi</t>
  </si>
  <si>
    <t>Cristiano</t>
  </si>
  <si>
    <t>cristiano.fibbi@cemsmail.org</t>
  </si>
  <si>
    <t>https://www.linkedin.com/in/cristianofibbi</t>
  </si>
  <si>
    <t>Emad Energy Sa</t>
  </si>
  <si>
    <t>Integral Petroleum SA</t>
  </si>
  <si>
    <t>Ficara</t>
  </si>
  <si>
    <t>Fortunato</t>
  </si>
  <si>
    <t>alessioficara@gmail.com</t>
  </si>
  <si>
    <t>https://www.linkedin.com/in/alessiofortunatoficara/</t>
  </si>
  <si>
    <t>La Maison</t>
  </si>
  <si>
    <t>Jobseeker</t>
  </si>
  <si>
    <t>Fidone</t>
  </si>
  <si>
    <t>alessandrafidone@outlook.com</t>
  </si>
  <si>
    <t>https://www.linkedin.com/in/alessandrafidone/</t>
  </si>
  <si>
    <t>Deutsche Bundesbank</t>
  </si>
  <si>
    <t>Knauf Insulation</t>
  </si>
  <si>
    <t>Figoli</t>
  </si>
  <si>
    <t>Marina</t>
  </si>
  <si>
    <t>marina.figoli@bnpparibas.com</t>
  </si>
  <si>
    <t>https://www.linkedin.com/in/marina-figoli-839509/</t>
  </si>
  <si>
    <t>Bnl Bnp Paribas</t>
  </si>
  <si>
    <t>Filippa</t>
  </si>
  <si>
    <t>Angela</t>
  </si>
  <si>
    <t>angela.filippa@csfb.com</t>
  </si>
  <si>
    <t>https://www.linkedin.com/in/angela-filippa/</t>
  </si>
  <si>
    <t>06/1998</t>
  </si>
  <si>
    <t>Filippucci</t>
  </si>
  <si>
    <t>f.filippucci@yahoo.it</t>
  </si>
  <si>
    <t>francesco.filippucci@gmail.com</t>
  </si>
  <si>
    <t>https://www.linkedin.com/in/francesco-filippucci-a19a54108/</t>
  </si>
  <si>
    <t>Oecd-Ocde</t>
  </si>
  <si>
    <t>Presidenza del Consiglio dei Ministri</t>
  </si>
  <si>
    <t>Filoramo</t>
  </si>
  <si>
    <t>alessandro.filoram@gmail.com</t>
  </si>
  <si>
    <t>https://www.linkedin.com/ilessandrofiloramo</t>
  </si>
  <si>
    <t>Arthur D. Little</t>
  </si>
  <si>
    <t>Fini</t>
  </si>
  <si>
    <t>matfini@gmail.com</t>
  </si>
  <si>
    <t>https://www.linkedin.com/in/matteo-fini-9a73805/</t>
  </si>
  <si>
    <t>Educatore Finanziario Iscritto Al Registro Aief</t>
  </si>
  <si>
    <t>Banca Generali</t>
  </si>
  <si>
    <t>11/2016</t>
  </si>
  <si>
    <t>Fontanari</t>
  </si>
  <si>
    <t>alessiafon@gmail.com</t>
  </si>
  <si>
    <t>alessia@mapotapo.com</t>
  </si>
  <si>
    <t>https://www.linkedin.com/ilessiafontanari</t>
  </si>
  <si>
    <t>Flatpay</t>
  </si>
  <si>
    <t>Doctolib</t>
  </si>
  <si>
    <t>Healthcare &amp; Pharma</t>
  </si>
  <si>
    <t>Fornaro</t>
  </si>
  <si>
    <t>Guglielmo</t>
  </si>
  <si>
    <t>guglielmo.fornaro@nuo.com</t>
  </si>
  <si>
    <t>https://www.linkedin.com/in/guglielmo-fornaro-b8b543197/</t>
  </si>
  <si>
    <t>Nuo</t>
  </si>
  <si>
    <t>Argo Partners</t>
  </si>
  <si>
    <t>Fornier</t>
  </si>
  <si>
    <t>https://www.linkedin.com/in/marcofornier/</t>
  </si>
  <si>
    <t>The Academy For Sales</t>
  </si>
  <si>
    <t>Crestron Electronics</t>
  </si>
  <si>
    <t>Fornieri Macchi</t>
  </si>
  <si>
    <t>Eugenia</t>
  </si>
  <si>
    <t>eugenia.fornieri@danone.com</t>
  </si>
  <si>
    <t>https://www.linkedin.com/in/eugeniafornierimacchi/</t>
  </si>
  <si>
    <t>Danone</t>
  </si>
  <si>
    <t>03/1997</t>
  </si>
  <si>
    <t>10/2001</t>
  </si>
  <si>
    <t>Fossati</t>
  </si>
  <si>
    <t>Monica</t>
  </si>
  <si>
    <t>https://www.linkedin.com/in/monica-fossati-3973627/</t>
  </si>
  <si>
    <t>Banca Popolare Di Lodi</t>
  </si>
  <si>
    <t>Franchetti</t>
  </si>
  <si>
    <t>Lorenza</t>
  </si>
  <si>
    <t>l.franchetti@gmail.com</t>
  </si>
  <si>
    <t>https://www.linkedin.com/in/lorenza-franchetti-5359a98/</t>
  </si>
  <si>
    <t>Skinlabo</t>
  </si>
  <si>
    <t>Wala Heilmittel GmbH</t>
  </si>
  <si>
    <t>12/2014</t>
  </si>
  <si>
    <t>alberto.franco@cbalex.com</t>
  </si>
  <si>
    <t>https://www.linkedin.com/ilbertofrancoit</t>
  </si>
  <si>
    <t>Saa - School Ofnmanagement, Università Di Torino</t>
  </si>
  <si>
    <t>CryptoLeges</t>
  </si>
  <si>
    <t>Frassanito</t>
  </si>
  <si>
    <t>giuliafrassanito@libero.it</t>
  </si>
  <si>
    <t>giuliafrassanito1994@gmail.com</t>
  </si>
  <si>
    <t>https://www.linkedin.com/in/giulia-frassanito-879221106/</t>
  </si>
  <si>
    <t>Mentors4u</t>
  </si>
  <si>
    <t>Frattini</t>
  </si>
  <si>
    <t>Marta</t>
  </si>
  <si>
    <t>marta_frattini@yahoo.it</t>
  </si>
  <si>
    <t>marta.frattini@valuelab.it</t>
  </si>
  <si>
    <t>https://www.linkedin.com/in/martafrattini/</t>
  </si>
  <si>
    <t>Adobe</t>
  </si>
  <si>
    <t>Brooks Brothers</t>
  </si>
  <si>
    <t>Fröhling</t>
  </si>
  <si>
    <t>Hendrik</t>
  </si>
  <si>
    <t>hendrik.frohling@jeme.it</t>
  </si>
  <si>
    <t>hendrik.frohling@gmail.com</t>
  </si>
  <si>
    <t>https://www.linkedin.com/in/hendrikfroehling/</t>
  </si>
  <si>
    <t>Avelios Medical</t>
  </si>
  <si>
    <t>28/2021</t>
  </si>
  <si>
    <t>Frosi</t>
  </si>
  <si>
    <t>clfrosi@gmail.com</t>
  </si>
  <si>
    <t>https://www.linkedin.com/in/claudia-frosi-11518b7a</t>
  </si>
  <si>
    <t>Fuentes</t>
  </si>
  <si>
    <t>Jerónimo</t>
  </si>
  <si>
    <t>jeronimo.fuentes@carlyle.com</t>
  </si>
  <si>
    <t>https://www.linkedin.com/in/jeronimof/</t>
  </si>
  <si>
    <t>Houlihan Lokey</t>
  </si>
  <si>
    <t>Jeronimo</t>
  </si>
  <si>
    <t>jerofw@gmail.com</t>
  </si>
  <si>
    <t>Fulvi</t>
  </si>
  <si>
    <t>pierluigi.fulvi@key.com</t>
  </si>
  <si>
    <t>https://www.linkedin.com/in/pierluigifulvi/</t>
  </si>
  <si>
    <t>Dll</t>
  </si>
  <si>
    <t>Banca Ifis</t>
  </si>
  <si>
    <t>04/2016</t>
  </si>
  <si>
    <t>Fumagalli</t>
  </si>
  <si>
    <t>f.ele@virgilio.it</t>
  </si>
  <si>
    <t>https://www.linkedin.com/in/elena-fumagalli-4897b41</t>
  </si>
  <si>
    <t>Mozzate Nonwovens S.R.L.</t>
  </si>
  <si>
    <t>Mozzate</t>
  </si>
  <si>
    <t>Audirevi S.r.l.</t>
  </si>
  <si>
    <t>03/2016</t>
  </si>
  <si>
    <t>10/2017</t>
  </si>
  <si>
    <t>Gabrielli</t>
  </si>
  <si>
    <t>https://www.linkedin.com/in/edoardo-gabrielli-7b1672167/</t>
  </si>
  <si>
    <t>Coca-Cola</t>
  </si>
  <si>
    <t>Gaetarelli</t>
  </si>
  <si>
    <t>francesco.g@komete.it</t>
  </si>
  <si>
    <t>https://www.linkedin.com/in/francescogeta/</t>
  </si>
  <si>
    <t>Komete</t>
  </si>
  <si>
    <t>Brescia</t>
  </si>
  <si>
    <t>Gagliardi</t>
  </si>
  <si>
    <t>alessandro.gagliardi@hsbc.com</t>
  </si>
  <si>
    <t>https://www.linkedin.com/ilessandro-gagliardi/</t>
  </si>
  <si>
    <t>Hsbc</t>
  </si>
  <si>
    <t>Vittoria</t>
  </si>
  <si>
    <t>mariavittoria.gagliardi@gmail.com</t>
  </si>
  <si>
    <t>https://www.linkedin.com/in/mariavittoriagagliardi/</t>
  </si>
  <si>
    <t>Mazzmedia Srl</t>
  </si>
  <si>
    <t>United Nations</t>
  </si>
  <si>
    <t>10/2010</t>
  </si>
  <si>
    <t>Gaini</t>
  </si>
  <si>
    <t>gaini.francesco@bcg.com</t>
  </si>
  <si>
    <t>https://www.linkedin.com/in/francescogaini</t>
  </si>
  <si>
    <t>Galbiati</t>
  </si>
  <si>
    <t>giulia10.galbiati@gmail.com</t>
  </si>
  <si>
    <t>https://www.linkedin.com/in/giulia-galbiati-50a97b12a/</t>
  </si>
  <si>
    <t>360 Capital</t>
  </si>
  <si>
    <t>Galeandro</t>
  </si>
  <si>
    <t>stefano_galeandro@yahoo.it</t>
  </si>
  <si>
    <t>https://www.linkedin.com/in/stefano-galeandro-75b431/</t>
  </si>
  <si>
    <t>Fideuram</t>
  </si>
  <si>
    <t>01/2006</t>
  </si>
  <si>
    <t>Galimberti</t>
  </si>
  <si>
    <t>fabio.galimberti@tiscalinet.it</t>
  </si>
  <si>
    <t>mgalimberti@cdr.com</t>
  </si>
  <si>
    <t>https://www.linkedin.com/in/marco-galimberti-30a52814b/</t>
  </si>
  <si>
    <t>Clayton, Dubilier &amp; Rice (Cd&amp;R)</t>
  </si>
  <si>
    <t>Galli</t>
  </si>
  <si>
    <t>ale.galli76@gmail.com</t>
  </si>
  <si>
    <t>Gallo</t>
  </si>
  <si>
    <t>giorgio.gallo@choruscapital.eu</t>
  </si>
  <si>
    <t>https://www.linkedin.com/in/giorgio-gallo-6b223a81</t>
  </si>
  <si>
    <t>Chorus Capital</t>
  </si>
  <si>
    <t>Legal &amp; General Investment Management</t>
  </si>
  <si>
    <t>Galoppo</t>
  </si>
  <si>
    <t>Garavaglia</t>
  </si>
  <si>
    <t>Garavelli</t>
  </si>
  <si>
    <t>Paola</t>
  </si>
  <si>
    <t>https://www.linkedin.com/in/paola-garavelli-a2556b80/</t>
  </si>
  <si>
    <t>Il Rosmarino Srl</t>
  </si>
  <si>
    <t>Première Vision</t>
  </si>
  <si>
    <t>Gardella</t>
  </si>
  <si>
    <t>André</t>
  </si>
  <si>
    <t>agardelik@gmail.com</t>
  </si>
  <si>
    <t>https://www.linkedin.com/in/andre-gardella-677304/</t>
  </si>
  <si>
    <t>Treezor</t>
  </si>
  <si>
    <t>Société Générale</t>
  </si>
  <si>
    <t>Andre</t>
  </si>
  <si>
    <t>PayXpert</t>
  </si>
  <si>
    <t>Gardini</t>
  </si>
  <si>
    <t>stefano.gardini@pirelli.com</t>
  </si>
  <si>
    <t>https://www.linkedin.com/in/stefanogardini</t>
  </si>
  <si>
    <t>Pirelli</t>
  </si>
  <si>
    <t>Garino</t>
  </si>
  <si>
    <t>jacopogarino@icloud.com</t>
  </si>
  <si>
    <t>jacopogarino1@gmail.com</t>
  </si>
  <si>
    <t>https://www.linkedin.com/in/jacopo-garino/</t>
  </si>
  <si>
    <t>Hellofresh Group</t>
  </si>
  <si>
    <t>Garofalo</t>
  </si>
  <si>
    <t>Annunziato</t>
  </si>
  <si>
    <t>Garosio</t>
  </si>
  <si>
    <t>mktg@pngroup.it</t>
  </si>
  <si>
    <t>mgarosio81@gmail.com</t>
  </si>
  <si>
    <t>https://www.linkedin.com/in/matteo-garosio-17812b199/</t>
  </si>
  <si>
    <t>Herman Spa</t>
  </si>
  <si>
    <t>PN Group</t>
  </si>
  <si>
    <t>Gatti</t>
  </si>
  <si>
    <t>pigatti1@virgilio.it</t>
  </si>
  <si>
    <t>paolo.gatti@unimi.it</t>
  </si>
  <si>
    <t>https://www.linkedin.com/in/paolo-gatti/</t>
  </si>
  <si>
    <t>Italia Calcio Coaching</t>
  </si>
  <si>
    <t>AC Milan</t>
  </si>
  <si>
    <t>01/1996</t>
  </si>
  <si>
    <t>Sport</t>
  </si>
  <si>
    <t>Gazzotti</t>
  </si>
  <si>
    <t>gazzottimariasofia@gmail.com</t>
  </si>
  <si>
    <t>https://www.linkedin.com/in/msofiagazzotti/</t>
  </si>
  <si>
    <t>Reflaunt</t>
  </si>
  <si>
    <t>Lisbon</t>
  </si>
  <si>
    <t>PT</t>
  </si>
  <si>
    <t>08/2019</t>
  </si>
  <si>
    <t>Gelfo</t>
  </si>
  <si>
    <t>cgelfo@gmail.com</t>
  </si>
  <si>
    <t>https://www.linkedin.com/in/cagel</t>
  </si>
  <si>
    <t>M23</t>
  </si>
  <si>
    <t>AAG LLC</t>
  </si>
  <si>
    <t>Doha</t>
  </si>
  <si>
    <t>QA</t>
  </si>
  <si>
    <t>Genini</t>
  </si>
  <si>
    <t>lucagenini@yahoo.it</t>
  </si>
  <si>
    <t>https://www.linkedin.com/in/lucagenini/</t>
  </si>
  <si>
    <t>Autotorino Spa</t>
  </si>
  <si>
    <t>Sondrio</t>
  </si>
  <si>
    <t>Confindustria Lecco e Sondrio</t>
  </si>
  <si>
    <t>Lecco</t>
  </si>
  <si>
    <t>Simone</t>
  </si>
  <si>
    <t>https://www.linkedin.com/in/simone-genini-15741b5/</t>
  </si>
  <si>
    <t>Te.ma Consultants</t>
  </si>
  <si>
    <t>01/2003</t>
  </si>
  <si>
    <t>04/2007</t>
  </si>
  <si>
    <t>Georgeon</t>
  </si>
  <si>
    <t>camilla.georgeon@gmail.com</t>
  </si>
  <si>
    <t>https://www.linkedin.com/in/camilla-georgeon-25317489</t>
  </si>
  <si>
    <t>Pictet Group</t>
  </si>
  <si>
    <t>Gerosa</t>
  </si>
  <si>
    <t>andreagerosa@hotmail.com</t>
  </si>
  <si>
    <t>https://www.linkedin.com/in/andreagerosa/</t>
  </si>
  <si>
    <t>Thinkyoung</t>
  </si>
  <si>
    <t>Entrepreneurship Club</t>
  </si>
  <si>
    <t>Gesess</t>
  </si>
  <si>
    <t>gesessfrancesco@gmail.com</t>
  </si>
  <si>
    <t>francesco.gesess@legora.com</t>
  </si>
  <si>
    <t>https://www.linkedin.com/in/francescogesess</t>
  </si>
  <si>
    <t>Legora</t>
  </si>
  <si>
    <t>SE</t>
  </si>
  <si>
    <t>Gherzi</t>
  </si>
  <si>
    <t>a.gherzi@hotmail.it</t>
  </si>
  <si>
    <t>https://www.linkedin.com/in/andrea-gherzi-21a44016/</t>
  </si>
  <si>
    <t>Nomura</t>
  </si>
  <si>
    <t>xx/2009</t>
  </si>
  <si>
    <t>Ghizzoni</t>
  </si>
  <si>
    <t>andrea.ghizzoni79@gmail.com</t>
  </si>
  <si>
    <t>andrea.ghizzoni@facile.it</t>
  </si>
  <si>
    <t>https://www.linkedin.com/indreaghizzoni/</t>
  </si>
  <si>
    <t>Facile.It</t>
  </si>
  <si>
    <t>Vodafone</t>
  </si>
  <si>
    <t>Giacomantonio</t>
  </si>
  <si>
    <t>lovincom@gmail.com</t>
  </si>
  <si>
    <t>https://www.linkedin.com/in/stefano-giacomantonio/</t>
  </si>
  <si>
    <t>L'Oréal</t>
  </si>
  <si>
    <t>Giacomino</t>
  </si>
  <si>
    <t>Giacopini</t>
  </si>
  <si>
    <t>Elisabetta</t>
  </si>
  <si>
    <t>elisabetta.giacopini@intesasanpaolo.com</t>
  </si>
  <si>
    <t>https://www.linkedin.com/in/elisabetta-giacopini-156497/</t>
  </si>
  <si>
    <t>Royal Bank of Scotland</t>
  </si>
  <si>
    <t>Gianardi</t>
  </si>
  <si>
    <t>gianac_cg@libero.it</t>
  </si>
  <si>
    <t>https://www.linkedin.com/in/carolinagianardi</t>
  </si>
  <si>
    <t>Intous</t>
  </si>
  <si>
    <t>American Express</t>
  </si>
  <si>
    <t>02/2023</t>
  </si>
  <si>
    <t>Giani</t>
  </si>
  <si>
    <t>Gianluca</t>
  </si>
  <si>
    <t>gianluca.giani18@gmail.com</t>
  </si>
  <si>
    <t>gianluca.giani@rothschildandco.com</t>
  </si>
  <si>
    <t>https://www.linkedin.com/in/gianlucagiani/</t>
  </si>
  <si>
    <t>Rothshild &amp; Co</t>
  </si>
  <si>
    <t>Azzurra</t>
  </si>
  <si>
    <t>azzurra.giorgio@gmail.com</t>
  </si>
  <si>
    <t>https://www.linkedin.com/izzurragiorgio</t>
  </si>
  <si>
    <t>Intervieweb</t>
  </si>
  <si>
    <t>Exton Consulting</t>
  </si>
  <si>
    <t>Giovannini</t>
  </si>
  <si>
    <t>patrick.giovannini@ardian.com</t>
  </si>
  <si>
    <t>https://www.linkedin.com/in/patrick-giovannini-25618a141/</t>
  </si>
  <si>
    <t>Ardian</t>
  </si>
  <si>
    <t>Giovannuzzi</t>
  </si>
  <si>
    <t>paola.giovannuzzi@infinito.it</t>
  </si>
  <si>
    <t>https://www.linkedin.com/in/paola-giovannuzzi-9656572/</t>
  </si>
  <si>
    <t>Lavoratore Autonomo</t>
  </si>
  <si>
    <t>Gironi</t>
  </si>
  <si>
    <t>gironiriccardo6@gmail.com</t>
  </si>
  <si>
    <t>riccardo_gironi@mckinsey.com</t>
  </si>
  <si>
    <t>https://www.linkedin.com/in/riccardo-gironi/</t>
  </si>
  <si>
    <t>Mckinsey &amp; Company</t>
  </si>
  <si>
    <t>08/2024</t>
  </si>
  <si>
    <t>Gismondi</t>
  </si>
  <si>
    <t>gismo77@hotmail.it</t>
  </si>
  <si>
    <t>https://www.linkedin.com/in/michele-gismondi-b8366b4/</t>
  </si>
  <si>
    <t>Lafert Group</t>
  </si>
  <si>
    <t>Venice</t>
  </si>
  <si>
    <t>GRUBER Logistics</t>
  </si>
  <si>
    <t>Bologna</t>
  </si>
  <si>
    <t>Giura Longo</t>
  </si>
  <si>
    <t>Rosalia</t>
  </si>
  <si>
    <t>rosaliagiuralongo@gmail.com</t>
  </si>
  <si>
    <t>https://www.linkedin.com/in/rosalia-giura-longo-2770126b/</t>
  </si>
  <si>
    <t>Pandora</t>
  </si>
  <si>
    <t>Bangkok</t>
  </si>
  <si>
    <t>Giust</t>
  </si>
  <si>
    <t>eliagiust16@gmail.com</t>
  </si>
  <si>
    <t>elia.giust@visa.com</t>
  </si>
  <si>
    <t>https://www.linkedin.com/in/eliagiust/</t>
  </si>
  <si>
    <t>Visa</t>
  </si>
  <si>
    <t>Compass Group</t>
  </si>
  <si>
    <t>Gnavi</t>
  </si>
  <si>
    <t>edoardo.gnavi@veeva.com</t>
  </si>
  <si>
    <t>https://www.linkedin.com/in/edoardo-gnavi-516907146/</t>
  </si>
  <si>
    <t>Veeva Systems</t>
  </si>
  <si>
    <t>NBC Global Finance Limited</t>
  </si>
  <si>
    <t>Golia</t>
  </si>
  <si>
    <t>federicogolia132@gmail.com</t>
  </si>
  <si>
    <t>https://www.linkedin.com/in/federico-golia-4905007/</t>
  </si>
  <si>
    <t>Jakala</t>
  </si>
  <si>
    <t>04/2013</t>
  </si>
  <si>
    <t>04/2022</t>
  </si>
  <si>
    <t>Grabstein</t>
  </si>
  <si>
    <t>Simon</t>
  </si>
  <si>
    <t>simo@greppy.com</t>
  </si>
  <si>
    <t>https://www.linkedin.com/in/simon-grabstein-a8425b/</t>
  </si>
  <si>
    <t>Modiano &amp; Partners</t>
  </si>
  <si>
    <t>EGONTEK</t>
  </si>
  <si>
    <t>JADE General Secretary</t>
  </si>
  <si>
    <t>Grande</t>
  </si>
  <si>
    <t>Martin</t>
  </si>
  <si>
    <t>martin.grande@tiscali.it</t>
  </si>
  <si>
    <t>https://www.linkedin.com/in/martin-grande-74029010a/</t>
  </si>
  <si>
    <t>Opcw</t>
  </si>
  <si>
    <t>The Hague</t>
  </si>
  <si>
    <t>Juba</t>
  </si>
  <si>
    <t>SS</t>
  </si>
  <si>
    <t>Grassi</t>
  </si>
  <si>
    <t>grassi.fra@gmail.com</t>
  </si>
  <si>
    <t>https://www.linkedin.com/in/francesco-grassi-a1240313/</t>
  </si>
  <si>
    <t>Essity</t>
  </si>
  <si>
    <t>Ferrero</t>
  </si>
  <si>
    <t>Cuneo</t>
  </si>
  <si>
    <t>Grasso</t>
  </si>
  <si>
    <t>enrico.grasso@gmail.com</t>
  </si>
  <si>
    <t>https://www.linkedin.com/in/enrico-grasso-962a96/</t>
  </si>
  <si>
    <t>H.I.G. Capital</t>
  </si>
  <si>
    <t>Graziani</t>
  </si>
  <si>
    <t>beatrigraziani@gmail.com</t>
  </si>
  <si>
    <t>https://www.linkedin.com/in/beatricegraziani/</t>
  </si>
  <si>
    <t>Greco</t>
  </si>
  <si>
    <t>chiara.greco153@gmail.com</t>
  </si>
  <si>
    <t>https://www.linkedin.com/in/greco-chiara/</t>
  </si>
  <si>
    <t>Carla</t>
  </si>
  <si>
    <t>carlagreco1102@gmail.com</t>
  </si>
  <si>
    <t>https://www.linkedin.com/in/carla-greco/</t>
  </si>
  <si>
    <t>Gremmo</t>
  </si>
  <si>
    <t>davidegremmo@hotmail.com</t>
  </si>
  <si>
    <t>https://www.linkedin.com/in/davidegremmo/</t>
  </si>
  <si>
    <t>Nobel Biocare</t>
  </si>
  <si>
    <t>Swissport</t>
  </si>
  <si>
    <t>Transports</t>
  </si>
  <si>
    <t>Grimandi</t>
  </si>
  <si>
    <t>mgrimandi@gmail.com</t>
  </si>
  <si>
    <t>https://www.linkedin.com/in/massimiliano-grimandi-919a4844/</t>
  </si>
  <si>
    <t>Deep Marketing</t>
  </si>
  <si>
    <t>Verona</t>
  </si>
  <si>
    <t>Cube Technologies s.r.o.</t>
  </si>
  <si>
    <t>05/2009</t>
  </si>
  <si>
    <t>Marketing</t>
  </si>
  <si>
    <t>Grosso</t>
  </si>
  <si>
    <t>grossomaurizio@yahoo.it</t>
  </si>
  <si>
    <t>https://www.linkedin.com/in/maurizio-grosso-02579322/</t>
  </si>
  <si>
    <t>Studio Commerciale E Tributario Grosso</t>
  </si>
  <si>
    <t>Grant Thornton LLP</t>
  </si>
  <si>
    <t>01/2002</t>
  </si>
  <si>
    <t>09/2002</t>
  </si>
  <si>
    <t>Lara</t>
  </si>
  <si>
    <t>lara.grosso@gmail.com</t>
  </si>
  <si>
    <t>https://www.linkedin.com/in/lara-grosso-8ba04b30/</t>
  </si>
  <si>
    <t>Harvard Health Systems Innovation Lab</t>
  </si>
  <si>
    <t>World Health Organization</t>
  </si>
  <si>
    <t>Guanziroli</t>
  </si>
  <si>
    <t>federico.guanziroli@live.it</t>
  </si>
  <si>
    <t>fede16f@hotmail.it</t>
  </si>
  <si>
    <t>https://www.linkedin.com/in/federico-g-a586a257</t>
  </si>
  <si>
    <t>Lone Star Funds</t>
  </si>
  <si>
    <t>Guidelli Guidi</t>
  </si>
  <si>
    <t>https://www.linkedin.com/in/pietro-guidelli-guidi-277757171/</t>
  </si>
  <si>
    <t>Bip</t>
  </si>
  <si>
    <t>Gulinatti</t>
  </si>
  <si>
    <t>daniele.gulinatti@it.ey.com</t>
  </si>
  <si>
    <t>daniele.gulinatti@yahoo.com</t>
  </si>
  <si>
    <t>https://www.linkedin.com/in/daniele-gulinatti-b7592a/</t>
  </si>
  <si>
    <t>Ey</t>
  </si>
  <si>
    <t>TIM</t>
  </si>
  <si>
    <t>Harbi</t>
  </si>
  <si>
    <t>Amin</t>
  </si>
  <si>
    <t>aharbi13@gmail.com</t>
  </si>
  <si>
    <t>https://www.linkedin.com/in/amin-harbi/</t>
  </si>
  <si>
    <t>Hauprich</t>
  </si>
  <si>
    <t>Laurin</t>
  </si>
  <si>
    <t>laurin.hauprich@capgemini.com</t>
  </si>
  <si>
    <t>laurin@hauprich.de</t>
  </si>
  <si>
    <t>https://www.linkedin.com/in/laurin-hauprich/</t>
  </si>
  <si>
    <t>Capgemini Invent</t>
  </si>
  <si>
    <t>Hauptkorn</t>
  </si>
  <si>
    <t>Elektra</t>
  </si>
  <si>
    <t>elektra.hauptkorn@jeme.it</t>
  </si>
  <si>
    <t>ehauptkorn@wilshire.com</t>
  </si>
  <si>
    <t>https://www.linkedin.com/in/hauptkorn/</t>
  </si>
  <si>
    <t>Wilshire</t>
  </si>
  <si>
    <t>Santa Monica</t>
  </si>
  <si>
    <t>Holler</t>
  </si>
  <si>
    <t>alberto.holler@gmail.com</t>
  </si>
  <si>
    <t>https://www.linkedin.com/ilberto-holler-72a95199/</t>
  </si>
  <si>
    <t>Iani</t>
  </si>
  <si>
    <t>guglielmoiani@gmail.com</t>
  </si>
  <si>
    <t>https://www.linkedin.com/in/guglielmo-iani-09882712a</t>
  </si>
  <si>
    <t>Infranity</t>
  </si>
  <si>
    <t>Iemmolo</t>
  </si>
  <si>
    <t>Emanuele</t>
  </si>
  <si>
    <t>https://www.linkedin.com/in/eiemmolo</t>
  </si>
  <si>
    <t>Creazione Di Valore Srl</t>
  </si>
  <si>
    <t>Nuvolab</t>
  </si>
  <si>
    <t>Ilic</t>
  </si>
  <si>
    <t>saraatos@gmail.com</t>
  </si>
  <si>
    <t>https://www.linkedin.com/in/sara-ilic-870298234/</t>
  </si>
  <si>
    <t>Podgorica</t>
  </si>
  <si>
    <t>ME</t>
  </si>
  <si>
    <t>Budapest</t>
  </si>
  <si>
    <t>HU</t>
  </si>
  <si>
    <t>Imparato</t>
  </si>
  <si>
    <t>Vincent</t>
  </si>
  <si>
    <t>imparatovincent1@gmail.com</t>
  </si>
  <si>
    <t>https://www.linkedin.com/in/vincent-imparato/</t>
  </si>
  <si>
    <t>Stellantis</t>
  </si>
  <si>
    <t>Istria (Schueffel)</t>
  </si>
  <si>
    <t>Cristina</t>
  </si>
  <si>
    <t>cristina@istrianet.it</t>
  </si>
  <si>
    <t>cristina@schueffel.com</t>
  </si>
  <si>
    <t>https://www.linkedin.com/in/cristinaistria/</t>
  </si>
  <si>
    <t>Astrazeneca</t>
  </si>
  <si>
    <t>Baar</t>
  </si>
  <si>
    <t>Amcor</t>
  </si>
  <si>
    <t>Packaging</t>
  </si>
  <si>
    <t>Izzo</t>
  </si>
  <si>
    <t>Eugenio</t>
  </si>
  <si>
    <t>eugenioizzo@outlook.it</t>
  </si>
  <si>
    <t>eugenio.izzo@izzointeriors.it</t>
  </si>
  <si>
    <t>https://www.linkedin.com/in/eugenioizzo/</t>
  </si>
  <si>
    <t>Izzo Interiors</t>
  </si>
  <si>
    <t>Naples</t>
  </si>
  <si>
    <t>Joudè</t>
  </si>
  <si>
    <t>Sharif</t>
  </si>
  <si>
    <t>sharifjoude@gmail.com</t>
  </si>
  <si>
    <t>https://www.linkedin.com/in/sharifjoude/</t>
  </si>
  <si>
    <t>Kacprzak</t>
  </si>
  <si>
    <t>Aneta</t>
  </si>
  <si>
    <t>Kania</t>
  </si>
  <si>
    <t>Agnieszka</t>
  </si>
  <si>
    <t>lesniewska.agnieszka@gmail.com</t>
  </si>
  <si>
    <t>https://www.linkedin.com/ignieszkadariakania/</t>
  </si>
  <si>
    <t>dotOne</t>
  </si>
  <si>
    <t>Kraków</t>
  </si>
  <si>
    <t>PL</t>
  </si>
  <si>
    <t>Koncewicz</t>
  </si>
  <si>
    <t>Martyna</t>
  </si>
  <si>
    <t>koncewiczmartyna1@gmail.com</t>
  </si>
  <si>
    <t>https://www.linkedin.com/in/martyna-koncewicz/</t>
  </si>
  <si>
    <t>Auterion</t>
  </si>
  <si>
    <t>Krason</t>
  </si>
  <si>
    <t>Zofia</t>
  </si>
  <si>
    <t>zofia.krason@poczta.onet.pl</t>
  </si>
  <si>
    <t>zofia.krason@ubs.com</t>
  </si>
  <si>
    <t>https://www.linkedin.com/in/zofia-krason/</t>
  </si>
  <si>
    <t>Ubs</t>
  </si>
  <si>
    <t>European Foundation for Entrepreneurship Development</t>
  </si>
  <si>
    <t>Warsaw</t>
  </si>
  <si>
    <t>Kumar Arya</t>
  </si>
  <si>
    <t>Karan</t>
  </si>
  <si>
    <t>karan.kumar@outlook.it</t>
  </si>
  <si>
    <t>karan@corporate-hangar.com</t>
  </si>
  <si>
    <t>https://www.linkedin.com/in/karan-kumar-arya-091143115/</t>
  </si>
  <si>
    <t>KPMG</t>
  </si>
  <si>
    <t>La Torre</t>
  </si>
  <si>
    <t>andrealatorre.alt@gmail.com</t>
  </si>
  <si>
    <t>https://www.linkedin.com/indrea-la-torre-34b67b7/</t>
  </si>
  <si>
    <t>Iziwork</t>
  </si>
  <si>
    <t>Lafronza</t>
  </si>
  <si>
    <t>Filippo</t>
  </si>
  <si>
    <t>filippo@telnyx.com</t>
  </si>
  <si>
    <t>https://www.linkedin.com/in/filippolafronza/</t>
  </si>
  <si>
    <t>Telnyx</t>
  </si>
  <si>
    <t>BIP</t>
  </si>
  <si>
    <t>Lai</t>
  </si>
  <si>
    <t>antonio_lai@yahoo.com</t>
  </si>
  <si>
    <t>https://www.linkedin.com/in/antoniolai/</t>
  </si>
  <si>
    <t>Qlik</t>
  </si>
  <si>
    <t>Lampronti</t>
  </si>
  <si>
    <t>Lancellotti</t>
  </si>
  <si>
    <t>elisabetta.lancellotti@hotmail.it</t>
  </si>
  <si>
    <t>https://www.linkedin.com/in/elisabetta-lancellotti-04166b2b/</t>
  </si>
  <si>
    <t>04/2018</t>
  </si>
  <si>
    <t>Latini</t>
  </si>
  <si>
    <t>https://www.linkedin.com/inna-latini-bb8b8b128</t>
  </si>
  <si>
    <t>Cvc Capital Partners</t>
  </si>
  <si>
    <t>Lattari</t>
  </si>
  <si>
    <t>Lattuada</t>
  </si>
  <si>
    <t>michelelattuada@hotmail.it</t>
  </si>
  <si>
    <t>michele.lattuada@danone.com</t>
  </si>
  <si>
    <t>https://www.linkedin.com/in/michele-lattuada-7342531/</t>
  </si>
  <si>
    <t>Nutricia Medical Nutrition</t>
  </si>
  <si>
    <t>Lazzari</t>
  </si>
  <si>
    <t>andrea.lazzari@gmail.com</t>
  </si>
  <si>
    <t>https://www.linkedin.com/indrea-lazzari-94158519</t>
  </si>
  <si>
    <t>Venice Investment</t>
  </si>
  <si>
    <t>08/2007</t>
  </si>
  <si>
    <t>Libratti</t>
  </si>
  <si>
    <t>Arianna</t>
  </si>
  <si>
    <t>arianna.libratti@sinsys.net</t>
  </si>
  <si>
    <t>https://www.linkedin.com/in/arianna-libratti-5773396/</t>
  </si>
  <si>
    <t>Nexi Group</t>
  </si>
  <si>
    <t>SIA S.p.A.</t>
  </si>
  <si>
    <t>Lippa</t>
  </si>
  <si>
    <t>alippa@bu.edu</t>
  </si>
  <si>
    <t>lippa.andrea@libero.it</t>
  </si>
  <si>
    <t>https://www.linkedin.com/indrea-lippa-26718311b/</t>
  </si>
  <si>
    <t>White Bridge Investments</t>
  </si>
  <si>
    <t>04/2021</t>
  </si>
  <si>
    <t>Private Equity</t>
  </si>
  <si>
    <t>Lisanti</t>
  </si>
  <si>
    <t>Cosimo</t>
  </si>
  <si>
    <t>cosimolisanti58@gmail.com</t>
  </si>
  <si>
    <t>https://www.linkedin.com/in/cosimo-lisanti-8b6b771a8/</t>
  </si>
  <si>
    <t>Livraga</t>
  </si>
  <si>
    <t>Samantha</t>
  </si>
  <si>
    <t>silvraga@hotmail.com</t>
  </si>
  <si>
    <t>https://www.linkedin.com/in/samantha-livraga-1239221/</t>
  </si>
  <si>
    <t>Virbac</t>
  </si>
  <si>
    <t>01/2008</t>
  </si>
  <si>
    <t>Pharmaceutical</t>
  </si>
  <si>
    <t>Logi</t>
  </si>
  <si>
    <t>https://www.linkedin.com/in/lorenzo-logi-94564467/</t>
  </si>
  <si>
    <t>Self-Employed</t>
  </si>
  <si>
    <t>01/1992</t>
  </si>
  <si>
    <t>Longo</t>
  </si>
  <si>
    <t>edoardo_longo@fastwebnet.it</t>
  </si>
  <si>
    <t>https://www.linkedin.com/in/edoardo-longo-03008a7/</t>
  </si>
  <si>
    <t>Haier Europe</t>
  </si>
  <si>
    <t>Loreti</t>
  </si>
  <si>
    <t>https://www.linkedin.com/in/alessio-loreti/</t>
  </si>
  <si>
    <t>Freelance Self-Employed</t>
  </si>
  <si>
    <t>Marseille</t>
  </si>
  <si>
    <t>Queen Mary University of London</t>
  </si>
  <si>
    <t>03/2005</t>
  </si>
  <si>
    <t>Lucano</t>
  </si>
  <si>
    <t>chiara.lucano@gmail.com</t>
  </si>
  <si>
    <t>https://www.linkedin.com/in/chiaralucano</t>
  </si>
  <si>
    <t>Richemont</t>
  </si>
  <si>
    <t>Luksic</t>
  </si>
  <si>
    <t>luksic.sarah@bcg.com</t>
  </si>
  <si>
    <t>https://www.linkedin.com/in/sarahluksic</t>
  </si>
  <si>
    <t>Amagis Capital</t>
  </si>
  <si>
    <t>Malta</t>
  </si>
  <si>
    <t>MT</t>
  </si>
  <si>
    <t>Lunari</t>
  </si>
  <si>
    <t>Niccolò</t>
  </si>
  <si>
    <t>niccolo.lunari@gmail.com</t>
  </si>
  <si>
    <t>https://www.linkedin.com/in/niccol%c3%b2-l-86460294/</t>
  </si>
  <si>
    <t>Controlhero</t>
  </si>
  <si>
    <t>AirQino</t>
  </si>
  <si>
    <t>Maan</t>
  </si>
  <si>
    <t>Eman</t>
  </si>
  <si>
    <t>Atta</t>
  </si>
  <si>
    <t>emanattamaan@gmail.com</t>
  </si>
  <si>
    <t>eman.maan@giz.de</t>
  </si>
  <si>
    <t>https://www.linkedin.com/in/eman-atta-maan-479702195/</t>
  </si>
  <si>
    <t>Giz Gmbh</t>
  </si>
  <si>
    <t>Lusaka</t>
  </si>
  <si>
    <t>ZM</t>
  </si>
  <si>
    <t>Maggi</t>
  </si>
  <si>
    <t>a_maggi@ymail.com</t>
  </si>
  <si>
    <t>andrea.maggi@accenture.com</t>
  </si>
  <si>
    <t>https://www.linkedin.com/in/maggiandrea</t>
  </si>
  <si>
    <t>Emirates Investment Bank PJSC</t>
  </si>
  <si>
    <t>07/2017</t>
  </si>
  <si>
    <t>Malacarne</t>
  </si>
  <si>
    <t>gio.mala@gmail.com</t>
  </si>
  <si>
    <t>https://www.linkedin.com/in/giovanni-malacarne-b6a54ba/</t>
  </si>
  <si>
    <t>Amazon Music</t>
  </si>
  <si>
    <t>Maluta</t>
  </si>
  <si>
    <t>Marian</t>
  </si>
  <si>
    <t>mmaluta@gmail.com</t>
  </si>
  <si>
    <t>https://www.linkedin.com/in/marian-maluta-6a9bb28/</t>
  </si>
  <si>
    <t>Haleon</t>
  </si>
  <si>
    <t>GSK Consumer Healthcare</t>
  </si>
  <si>
    <t>Mancini</t>
  </si>
  <si>
    <t>mancini@ipacademy.org</t>
  </si>
  <si>
    <t>https://www.linkedin.com/in/francesco-mancini-11936a84</t>
  </si>
  <si>
    <t>Lee Kuan Yew School Of Public Policy Executive Education</t>
  </si>
  <si>
    <t>Columbia University in the City of New York</t>
  </si>
  <si>
    <t>Mangeri</t>
  </si>
  <si>
    <t>ale.mangeri@virgilio.it</t>
  </si>
  <si>
    <t>https://www.linkedin.com/in/alessandra-mangeri-6568903b/</t>
  </si>
  <si>
    <t>Amg</t>
  </si>
  <si>
    <t>Tribunale di Brescia</t>
  </si>
  <si>
    <t>Manica</t>
  </si>
  <si>
    <t>mariaelena.manica@gmail.com</t>
  </si>
  <si>
    <t>https://www.linkedin.com/in/mariaelenamanica</t>
  </si>
  <si>
    <t>Burberry</t>
  </si>
  <si>
    <t>02/2016</t>
  </si>
  <si>
    <t>Mantelli</t>
  </si>
  <si>
    <t>carlottamantelli@gmail.com</t>
  </si>
  <si>
    <t>https://www.linkedin.com/in/carlottamantelli/</t>
  </si>
  <si>
    <t>Amo</t>
  </si>
  <si>
    <t>Mantero</t>
  </si>
  <si>
    <t>Michelangelo</t>
  </si>
  <si>
    <t>michelangelo_mantero@fastwebnet.it</t>
  </si>
  <si>
    <t>https://www.linkedin.com/in/michelangelo-mantero-62310b5/</t>
  </si>
  <si>
    <t>Xenon Private Equity</t>
  </si>
  <si>
    <t>First Advisory Srl</t>
  </si>
  <si>
    <t>Maralla</t>
  </si>
  <si>
    <t>andrea.maralla@fastwebnet.it</t>
  </si>
  <si>
    <t>https://www.linkedin.com/in/andrea-maralla-522b327/</t>
  </si>
  <si>
    <t>Marchese</t>
  </si>
  <si>
    <t>tommaso.marchese@hotmail.it</t>
  </si>
  <si>
    <t>https://www.linkedin.com/in/tommasomarchese/</t>
  </si>
  <si>
    <t>Jet Hr</t>
  </si>
  <si>
    <t>09/2024</t>
  </si>
  <si>
    <t>Mardente</t>
  </si>
  <si>
    <t>giovanni.mardente@yahoo.com</t>
  </si>
  <si>
    <t>giom@equinor.com</t>
  </si>
  <si>
    <t>https://www.linkedin.com/in/giovannimardente/</t>
  </si>
  <si>
    <t>Equinor</t>
  </si>
  <si>
    <t>Stavanger</t>
  </si>
  <si>
    <t>NO</t>
  </si>
  <si>
    <t>Mariani</t>
  </si>
  <si>
    <t>ele.mariani@gmail.com</t>
  </si>
  <si>
    <t>elena.mariani@moncler.com</t>
  </si>
  <si>
    <t>https://www.linkedin.com/in/elenamariani/</t>
  </si>
  <si>
    <t>Moncler</t>
  </si>
  <si>
    <t>Marinelli</t>
  </si>
  <si>
    <t>stefano.marinelli@deagostini.it</t>
  </si>
  <si>
    <t>https://www.linkedin.com/in/stefano-marinelli-475a923/</t>
  </si>
  <si>
    <t>De Agostini S.P.A.</t>
  </si>
  <si>
    <t>Novara</t>
  </si>
  <si>
    <t>09/2010</t>
  </si>
  <si>
    <t>06/2011</t>
  </si>
  <si>
    <t>Marino</t>
  </si>
  <si>
    <t>https://www.linkedin.com/in/tdmarino/</t>
  </si>
  <si>
    <t>Jll</t>
  </si>
  <si>
    <t>JLL</t>
  </si>
  <si>
    <t>Vincenzo</t>
  </si>
  <si>
    <t>vincenzo.marino91@gmail.com</t>
  </si>
  <si>
    <t>https://www.linkedin.com/in/marinovinz</t>
  </si>
  <si>
    <t>Fab Lab Western Sicily</t>
  </si>
  <si>
    <t>08/2015</t>
  </si>
  <si>
    <t>Marinoni</t>
  </si>
  <si>
    <t>giancarlo.marinoni@gmail.com</t>
  </si>
  <si>
    <t>https://www.linkedin.com/in/giancarlo-marinoni-5386317/</t>
  </si>
  <si>
    <t>Barnes Molding Solutions</t>
  </si>
  <si>
    <t>Beretta Holding</t>
  </si>
  <si>
    <t>Defense</t>
  </si>
  <si>
    <t>Martano</t>
  </si>
  <si>
    <t>Emilio</t>
  </si>
  <si>
    <t>emiliomartano@gmail.com</t>
  </si>
  <si>
    <t>emilio_martano@hotmail.com</t>
  </si>
  <si>
    <t>https://www.linkedin.com/in/emilio-martano/</t>
  </si>
  <si>
    <t>Amplifon</t>
  </si>
  <si>
    <t>Banca Widiba</t>
  </si>
  <si>
    <t>Martellini</t>
  </si>
  <si>
    <t>Piero</t>
  </si>
  <si>
    <t>piero.martellini@gmail.com</t>
  </si>
  <si>
    <t>https://www.linkedin.com/in/piero-martellini-ab2233112</t>
  </si>
  <si>
    <t>Martiner</t>
  </si>
  <si>
    <t>Moriz</t>
  </si>
  <si>
    <t>moriz@morizmartiner.com</t>
  </si>
  <si>
    <t>https://www.linkedin.com/in/morizmartiner/</t>
  </si>
  <si>
    <t>Audeo Ventures</t>
  </si>
  <si>
    <t>Martinetti Osculati</t>
  </si>
  <si>
    <t>https://www.linkedin.com/in/luca-andrea-martinetti-osculati-69200b5/</t>
  </si>
  <si>
    <t>Marzetti</t>
  </si>
  <si>
    <t>marco17@katamail.com</t>
  </si>
  <si>
    <t>https://www.linkedin.com/in/marzettimarco/</t>
  </si>
  <si>
    <t>Kite Insights</t>
  </si>
  <si>
    <t>Ipsen</t>
  </si>
  <si>
    <t>Marzi</t>
  </si>
  <si>
    <t>Letizia</t>
  </si>
  <si>
    <t>letizia@insultiluminosi.it</t>
  </si>
  <si>
    <t>letiziamarzi1@gmail.com</t>
  </si>
  <si>
    <t>https://www.linkedin.com/in/letizia-marzi-4a6885ab/</t>
  </si>
  <si>
    <t>Insulti Luminosi</t>
  </si>
  <si>
    <t>Marzorati</t>
  </si>
  <si>
    <t>Antonella</t>
  </si>
  <si>
    <t>chiaramarzo@yahoo.it</t>
  </si>
  <si>
    <t>https://www.linkedin.com/in/chiara-marzorati-a777001/</t>
  </si>
  <si>
    <t>Gruppo Bpm Banca Popolare Di Milano</t>
  </si>
  <si>
    <t>Accento</t>
  </si>
  <si>
    <t>07/2005</t>
  </si>
  <si>
    <t>06/2006</t>
  </si>
  <si>
    <t>Mascarino</t>
  </si>
  <si>
    <t>Wilma</t>
  </si>
  <si>
    <t>Adele</t>
  </si>
  <si>
    <t>wilma.mascarino@tiscali.it</t>
  </si>
  <si>
    <t>https://www.linkedin.com/in/wilma-adele-mascarino-a4b43925/</t>
  </si>
  <si>
    <t>Studio Mascarino</t>
  </si>
  <si>
    <t>Casale Monferrato</t>
  </si>
  <si>
    <t>Masetto</t>
  </si>
  <si>
    <t>Isabella</t>
  </si>
  <si>
    <t>https://www.linkedin.com/in/isabella-masetto-01b62b182/</t>
  </si>
  <si>
    <t>Lse</t>
  </si>
  <si>
    <t>Centre for Research on Social Dynamics and Public Policy (DONDENA)</t>
  </si>
  <si>
    <t>Washington</t>
  </si>
  <si>
    <t>Masotto</t>
  </si>
  <si>
    <t>riccardo_masotto@hotmail.com</t>
  </si>
  <si>
    <t>i believe he has recently deleted linkedin, the information was found on linkedin while doing the initial research</t>
  </si>
  <si>
    <t>Select Model Management</t>
  </si>
  <si>
    <t>Solera</t>
  </si>
  <si>
    <t>Massari</t>
  </si>
  <si>
    <t>https://www.linkedin.com/in/paolo-massari-b18a659/</t>
  </si>
  <si>
    <t>Mediaset</t>
  </si>
  <si>
    <t>Comune di Milano</t>
  </si>
  <si>
    <t>Massaro</t>
  </si>
  <si>
    <t>e.massaro@scatolificiosama.it</t>
  </si>
  <si>
    <t>https://www.linkedin.com/in/eleonora-massaro-76492059/</t>
  </si>
  <si>
    <t>Scatolificio Sama</t>
  </si>
  <si>
    <t>Fratta Polesine</t>
  </si>
  <si>
    <t>Massucci</t>
  </si>
  <si>
    <t>massucci.niccolo@bcg.com</t>
  </si>
  <si>
    <t>https://www.linkedin.com/in/niccolomassucci</t>
  </si>
  <si>
    <t>Foodpanda</t>
  </si>
  <si>
    <t>Mastrangelo</t>
  </si>
  <si>
    <t>marco.mastrangelo@jeme.it</t>
  </si>
  <si>
    <t>m.mastrangelo@outlook.com</t>
  </si>
  <si>
    <t>https://www.linkedin.com/in/marcomastrangelo98/</t>
  </si>
  <si>
    <t>Alvarez &amp; Marsal</t>
  </si>
  <si>
    <t>09/2025</t>
  </si>
  <si>
    <t>Sales Account</t>
  </si>
  <si>
    <t>Matei</t>
  </si>
  <si>
    <t>Stefan</t>
  </si>
  <si>
    <t>matei.stefan3@gmail.com</t>
  </si>
  <si>
    <t>https://www.linkedin.com/in/stefan-matei</t>
  </si>
  <si>
    <t>Opera Investment Partners</t>
  </si>
  <si>
    <t>Clearsite</t>
  </si>
  <si>
    <t>Matranga</t>
  </si>
  <si>
    <t>andreamatranga@gmail.com</t>
  </si>
  <si>
    <t>https://www.linkedin.com/imatranga</t>
  </si>
  <si>
    <t>Università Degli Studi Di Torino</t>
  </si>
  <si>
    <t>Nordstrom</t>
  </si>
  <si>
    <t>08/2011</t>
  </si>
  <si>
    <t>Seattle</t>
  </si>
  <si>
    <t>Matuozzo</t>
  </si>
  <si>
    <t>a.matuozzo@virtuosoadvisory.com</t>
  </si>
  <si>
    <t>alberto_matuozzo@yahoo.co.uk</t>
  </si>
  <si>
    <t>https://www.linkedin.com/in/alberto-matuozzo-2a504a8/</t>
  </si>
  <si>
    <t>Virtuoso Advisory</t>
  </si>
  <si>
    <t>Farema Capital</t>
  </si>
  <si>
    <t>Maude</t>
  </si>
  <si>
    <t>Pio</t>
  </si>
  <si>
    <t>antonio.maude@icloud.com</t>
  </si>
  <si>
    <t>https://www.linkedin.com/in/amaude/</t>
  </si>
  <si>
    <t>Bank Of America</t>
  </si>
  <si>
    <t>Mauri</t>
  </si>
  <si>
    <t>Nicola</t>
  </si>
  <si>
    <t>nicola.mauri@valeur.eu</t>
  </si>
  <si>
    <t>nikmauri@yahoo.com</t>
  </si>
  <si>
    <t>https://www.linkedin.com/in/nicola-mauri-b3998118/</t>
  </si>
  <si>
    <t>Valeur</t>
  </si>
  <si>
    <t>Executive Director</t>
  </si>
  <si>
    <t>Mazzacuva</t>
  </si>
  <si>
    <t>Guido</t>
  </si>
  <si>
    <t>guido-99@hotmail.it</t>
  </si>
  <si>
    <t>https://www.linkedin.com/in/guido-mazzacuva-688623189/</t>
  </si>
  <si>
    <t>The European House-Ambrosetti</t>
  </si>
  <si>
    <t>Mazzini</t>
  </si>
  <si>
    <t>giacomomazzini@gmail.com</t>
  </si>
  <si>
    <t>https://www.linkedin.com/in/giacomo-mazzini-4bbb4516/</t>
  </si>
  <si>
    <t>Freelance</t>
  </si>
  <si>
    <t>Loro Piana</t>
  </si>
  <si>
    <t>Mazzotta</t>
  </si>
  <si>
    <t>edoardo.mazzotta@gmail.com</t>
  </si>
  <si>
    <t>https://www.linkedin.com/in/edoardo-mazzotta</t>
  </si>
  <si>
    <t>Mazzucchelli</t>
  </si>
  <si>
    <t>mazzud@live.com</t>
  </si>
  <si>
    <t>https://www.linkedin.com/in/davide-mazzucchelli-74651a212/</t>
  </si>
  <si>
    <t>Eni Australia Limited</t>
  </si>
  <si>
    <t>Perth</t>
  </si>
  <si>
    <t>Eni</t>
  </si>
  <si>
    <t>Medico</t>
  </si>
  <si>
    <t>+393331968961</t>
  </si>
  <si>
    <t>alemedi@icloud.com</t>
  </si>
  <si>
    <t>https://www.linkedin.com/ilessandro-medico/</t>
  </si>
  <si>
    <t>Revel8</t>
  </si>
  <si>
    <t>Medvedich</t>
  </si>
  <si>
    <t>Patrizia</t>
  </si>
  <si>
    <t>pmedvedich@hotmail.com</t>
  </si>
  <si>
    <t>https://www.linkedin.com/in/patriziamedvedich/</t>
  </si>
  <si>
    <t>Credit Risk And Debt Restructuring Consultant</t>
  </si>
  <si>
    <t>04/2002</t>
  </si>
  <si>
    <t>Mengo</t>
  </si>
  <si>
    <t>gabrielemengo01@gmail.com</t>
  </si>
  <si>
    <t>gabriele.mengo@lw.com</t>
  </si>
  <si>
    <t>https://www.linkedin.com/in/gabriele-mengo-b6a6151b9/</t>
  </si>
  <si>
    <t>Mensi</t>
  </si>
  <si>
    <t>Sabrina</t>
  </si>
  <si>
    <t>sabrina.mensi@gmail.com</t>
  </si>
  <si>
    <t>https://www.linkedin.com/in/sabrina-mensi-a711577/</t>
  </si>
  <si>
    <t>Sosteneo Infrastructure Partners</t>
  </si>
  <si>
    <t>Olympia Wealth Management Ltd</t>
  </si>
  <si>
    <t>Mento</t>
  </si>
  <si>
    <t>barbara.mento@gmail.com</t>
  </si>
  <si>
    <t>https://www.linkedin.com/in/barbara-mento-19b9aa6/</t>
  </si>
  <si>
    <t>Family District</t>
  </si>
  <si>
    <t>Menza</t>
  </si>
  <si>
    <t>pimenza@hotmail.com</t>
  </si>
  <si>
    <t>https://www.linkedin.com/in/pietro-menza-32041b18/</t>
  </si>
  <si>
    <t>Siae</t>
  </si>
  <si>
    <t>Meroni</t>
  </si>
  <si>
    <t>Mezzarobba</t>
  </si>
  <si>
    <t>michelemezza@hotmail.com</t>
  </si>
  <si>
    <t>mm@paris-orleans.com</t>
  </si>
  <si>
    <t>https://www.linkedin.com/in/michele-mezzarobba-65b565</t>
  </si>
  <si>
    <t>Mircap Partners</t>
  </si>
  <si>
    <t>Essling Capital</t>
  </si>
  <si>
    <t>Midolo</t>
  </si>
  <si>
    <t>Miglioranzi</t>
  </si>
  <si>
    <t>luca.miglioranzi@ballarini.it</t>
  </si>
  <si>
    <t>luca.miglioranzi@alice.it</t>
  </si>
  <si>
    <t>https://www.linkedin.com/in/luca-miglioranzi-6928149a/</t>
  </si>
  <si>
    <t>Eat Happy Italia</t>
  </si>
  <si>
    <t>Zwilling Ballarini Italia S.r.l.</t>
  </si>
  <si>
    <t>Mina</t>
  </si>
  <si>
    <t>sebastiano.mina@kkr.com</t>
  </si>
  <si>
    <t>https://www.linkedin.com/in/sebastianomina</t>
  </si>
  <si>
    <t>Kkr</t>
  </si>
  <si>
    <t>UBS</t>
  </si>
  <si>
    <t>Minissale</t>
  </si>
  <si>
    <t>Gian Marco</t>
  </si>
  <si>
    <t>https://www.linkedin.com/in/gian-marco-minissale/</t>
  </si>
  <si>
    <t>Minniti</t>
  </si>
  <si>
    <t>Natacha</t>
  </si>
  <si>
    <t>natacha.minniti@jpmorgan.com</t>
  </si>
  <si>
    <t>https://www.linkedin.com/in/natacha-minniti-98689b16/</t>
  </si>
  <si>
    <t>Miranda</t>
  </si>
  <si>
    <t>Dylan</t>
  </si>
  <si>
    <t>dylanfmiranda@gmail.com</t>
  </si>
  <si>
    <t>dylan.miranda@jeme.it</t>
  </si>
  <si>
    <t>https://www.linkedin.com/in/dylanfmiranda</t>
  </si>
  <si>
    <t>Platformed</t>
  </si>
  <si>
    <t>GlassDollar</t>
  </si>
  <si>
    <t>Modabber</t>
  </si>
  <si>
    <t>Venus</t>
  </si>
  <si>
    <t>venusmodabber@gmail.com</t>
  </si>
  <si>
    <t>https://www.linkedin.com/in/venusmodabber/</t>
  </si>
  <si>
    <t>Pricewaterhousecoopers (Pwc)</t>
  </si>
  <si>
    <t>06/2012</t>
  </si>
  <si>
    <t>12/2012</t>
  </si>
  <si>
    <t>Moncalvo</t>
  </si>
  <si>
    <t>Maxim</t>
  </si>
  <si>
    <t>maxim.moncalvo@gmail.com</t>
  </si>
  <si>
    <t>https://www.linkedin.com/in/maximmoncalvo/</t>
  </si>
  <si>
    <t>Stanley Black &amp; Decker, Inc.</t>
  </si>
  <si>
    <t>Towson</t>
  </si>
  <si>
    <t>Moniga</t>
  </si>
  <si>
    <t>cmoniga@hotmail.com</t>
  </si>
  <si>
    <t>https://www.linkedin.com/in/cristina-moniga-570502236/</t>
  </si>
  <si>
    <t>Montaruli</t>
  </si>
  <si>
    <t>carolina.montaruli@gmail.com</t>
  </si>
  <si>
    <t>https://www.linkedin.com/in/carolinamontaruli/</t>
  </si>
  <si>
    <t>Moretti</t>
  </si>
  <si>
    <t>chiara.moretti@jeme.it</t>
  </si>
  <si>
    <t>https://www.linkedin.com/in/chiara-moretti-765a222b1/</t>
  </si>
  <si>
    <t>Coop F.E.M.A.</t>
  </si>
  <si>
    <t>Silk Pro. Srl</t>
  </si>
  <si>
    <t>Moro</t>
  </si>
  <si>
    <t>sebastiano.moro@unox.com</t>
  </si>
  <si>
    <t>https://www.linkedin.com/in/sebastiano-moro-20b700131/</t>
  </si>
  <si>
    <t>Unox</t>
  </si>
  <si>
    <t>BlackRock</t>
  </si>
  <si>
    <t>Mountagner</t>
  </si>
  <si>
    <t>Mozzone</t>
  </si>
  <si>
    <t>francesco.mozzone@gmail.com</t>
  </si>
  <si>
    <t>https://www.linkedin.com/in/francesco-mozzone-6a41b410a/</t>
  </si>
  <si>
    <t>Matching Number</t>
  </si>
  <si>
    <t>White &amp; Case LLP</t>
  </si>
  <si>
    <t>Munter</t>
  </si>
  <si>
    <t>christian.munter@bdo.ch</t>
  </si>
  <si>
    <t>munterchristian@gmail.com</t>
  </si>
  <si>
    <t>https://www.linkedin.com/in/christian-munter/</t>
  </si>
  <si>
    <t>Bdo Switzerland</t>
  </si>
  <si>
    <t>HYPO VORARLBERG LEASING SPA</t>
  </si>
  <si>
    <t>Bolzano</t>
  </si>
  <si>
    <t>Musumeci</t>
  </si>
  <si>
    <t>Antonino</t>
  </si>
  <si>
    <t>musumeciantonino@gmail.com</t>
  </si>
  <si>
    <t>https://www.linkedin.com/intoninom/</t>
  </si>
  <si>
    <t>Standard &amp; Poor's</t>
  </si>
  <si>
    <t>05/2029</t>
  </si>
  <si>
    <t>Muzzi</t>
  </si>
  <si>
    <t>Henrique</t>
  </si>
  <si>
    <t>henrique.muzzi@gmail.com</t>
  </si>
  <si>
    <t>https://www.linkedin.com/in/henriquemuzzi/</t>
  </si>
  <si>
    <t>Allianz Partners</t>
  </si>
  <si>
    <t>Nastasi</t>
  </si>
  <si>
    <t>Gregorio</t>
  </si>
  <si>
    <t>gregorio.nastasi@jeme.it</t>
  </si>
  <si>
    <t>gregorionastasi1@gmail.com</t>
  </si>
  <si>
    <t>https://www.linkedin.com/in/gregorionastasi/</t>
  </si>
  <si>
    <t>Nembri</t>
  </si>
  <si>
    <t>robynembri@gmail.com</t>
  </si>
  <si>
    <t>https://www.linkedin.com/in/robertanembri/</t>
  </si>
  <si>
    <t>Gruppo Assimoco</t>
  </si>
  <si>
    <t>Neytcheva</t>
  </si>
  <si>
    <t>Nadia</t>
  </si>
  <si>
    <t>nadia.neytcheva@gmail.com</t>
  </si>
  <si>
    <t>medy84@yahoo.it</t>
  </si>
  <si>
    <t>https://www.linkedin.com/in/nadia-neytcheva/</t>
  </si>
  <si>
    <t>Doctorsa</t>
  </si>
  <si>
    <t>Doctors in Italy</t>
  </si>
  <si>
    <t>05/2015</t>
  </si>
  <si>
    <t>Medical/Healthcare</t>
  </si>
  <si>
    <t>Nicastro</t>
  </si>
  <si>
    <t>davide.nicastro@fibercop.it</t>
  </si>
  <si>
    <t>https://www.linkedin.com/in/davide-nicastro-cia-ccsa-crma-6a6a0316/</t>
  </si>
  <si>
    <t>Fibercop</t>
  </si>
  <si>
    <t>Iveco Group</t>
  </si>
  <si>
    <t>Nichil</t>
  </si>
  <si>
    <t>matteo_nichil@hotmail.it</t>
  </si>
  <si>
    <t>matteo.nichil@gmail.com</t>
  </si>
  <si>
    <t>https://www.linkedin.com/in/matteo-nichil-6b9189b/</t>
  </si>
  <si>
    <t>Nextalia</t>
  </si>
  <si>
    <t>Stirling Square Capital Partners</t>
  </si>
  <si>
    <t>Nicolini</t>
  </si>
  <si>
    <t>riccardonicolini@hotmail.com</t>
  </si>
  <si>
    <t>https://www.linkedin.com/in/riccardo-nicolini-52a396131/</t>
  </si>
  <si>
    <t>Hotel Card International</t>
  </si>
  <si>
    <t>Rimini</t>
  </si>
  <si>
    <t>Niri</t>
  </si>
  <si>
    <t>Noberasco</t>
  </si>
  <si>
    <t>gabrielemarino@mail.com</t>
  </si>
  <si>
    <t>https://www.linkedin.com/in/gabriele-marino-noberasco-8a5a8a30/</t>
  </si>
  <si>
    <t>Bfp - Bettini Formigaro Pericu</t>
  </si>
  <si>
    <t>Normanno</t>
  </si>
  <si>
    <t>Angelo</t>
  </si>
  <si>
    <t>matteo.normanno@ecb.int</t>
  </si>
  <si>
    <t>https://www.linkedin.com/in/matteo-angelo-normanno/</t>
  </si>
  <si>
    <t>Nova</t>
  </si>
  <si>
    <t>massimiliano.nova@partnerscpa.it</t>
  </si>
  <si>
    <t>https://www.linkedin.com/in/massimiliano-nova-8a914721/</t>
  </si>
  <si>
    <t>New Team S.R.L.</t>
  </si>
  <si>
    <t>Allianz</t>
  </si>
  <si>
    <t>Nuebling</t>
  </si>
  <si>
    <t>Florian</t>
  </si>
  <si>
    <t>f_nuebling@hotmail.com</t>
  </si>
  <si>
    <t>floriannuebling@gmail.com</t>
  </si>
  <si>
    <t>https://www.linkedin.com/in/florian-nuebling-217a194/</t>
  </si>
  <si>
    <t>Volatiles Technologies Gmbh</t>
  </si>
  <si>
    <t>Berenberg</t>
  </si>
  <si>
    <t>O'Coileain</t>
  </si>
  <si>
    <t>Ocal</t>
  </si>
  <si>
    <t>Ozan</t>
  </si>
  <si>
    <t>https://www.linkedin.com/in/ozan-ocal/</t>
  </si>
  <si>
    <t>Odorisio</t>
  </si>
  <si>
    <t>federica.odorisio@gmail.com</t>
  </si>
  <si>
    <t>https://www.linkedin.com/in/federica-odorisio-79283237/</t>
  </si>
  <si>
    <t>Not Working</t>
  </si>
  <si>
    <t>Italian Chamber of Commerce in Australia</t>
  </si>
  <si>
    <t>Brisbane</t>
  </si>
  <si>
    <t>Oneto</t>
  </si>
  <si>
    <t>Michela</t>
  </si>
  <si>
    <t>michelaoneto@gmail.com</t>
  </si>
  <si>
    <t>https://www.linkedin.com/in/michela-oneto-181a261a0/</t>
  </si>
  <si>
    <t>31/12/2020</t>
  </si>
  <si>
    <t>Onorati</t>
  </si>
  <si>
    <t>roberta.onorati@unilever.com</t>
  </si>
  <si>
    <t>https://www.linkedin.com/in/roberta-onorati-73599318/</t>
  </si>
  <si>
    <t>Unilever</t>
  </si>
  <si>
    <t>03/2011</t>
  </si>
  <si>
    <t>michele.onorati@lazard.com</t>
  </si>
  <si>
    <t>https://www.linkedin.com/in/michele-onorati-848bb8199/</t>
  </si>
  <si>
    <t>Orsenigo</t>
  </si>
  <si>
    <t>sara.orsenigo5@gmail.com</t>
  </si>
  <si>
    <t>https://www.linkedin.com/in/sara-orsenigo1995</t>
  </si>
  <si>
    <t>Oteri</t>
  </si>
  <si>
    <t>60-65</t>
  </si>
  <si>
    <t>antonio.oteri@gmail.com</t>
  </si>
  <si>
    <t>https://www.linkedin.com/in/aoteri/</t>
  </si>
  <si>
    <t>Atos</t>
  </si>
  <si>
    <t>Sao Paulo</t>
  </si>
  <si>
    <t>Forneria Romana</t>
  </si>
  <si>
    <t>Pagano</t>
  </si>
  <si>
    <t>vincenzo.pagano@jpmorgan.com</t>
  </si>
  <si>
    <t>https://www.linkedin.com/in/vincenzo-pagano-544a94132/</t>
  </si>
  <si>
    <t>Paiano</t>
  </si>
  <si>
    <t>Viria</t>
  </si>
  <si>
    <t>viria.pa@gmail.com</t>
  </si>
  <si>
    <t>https://www.linkedin.com/in/viria-paiano-00219231/</t>
  </si>
  <si>
    <t>Valentino</t>
  </si>
  <si>
    <t>Palacino</t>
  </si>
  <si>
    <t>marco.palacino@gmail.com</t>
  </si>
  <si>
    <t>https://www.linkedin.com/in/marco-palacino-4715681a/</t>
  </si>
  <si>
    <t>Ovington Capital Partners</t>
  </si>
  <si>
    <t>Orizzonte Lab S.r.l.</t>
  </si>
  <si>
    <t>Paladini</t>
  </si>
  <si>
    <t>paladini.andre@gmail.com</t>
  </si>
  <si>
    <t>https://www.linkedin.com/indrea-paladini-6b884a77</t>
  </si>
  <si>
    <t>Paladino</t>
  </si>
  <si>
    <t>alessandro.paladino.ts@gmail.com</t>
  </si>
  <si>
    <t>https://www.linkedin.com/in/alessandropaladino/</t>
  </si>
  <si>
    <t>Palamara</t>
  </si>
  <si>
    <t>filippo.palamara@gmail.com</t>
  </si>
  <si>
    <t>https://www.linkedin.com/in/filippo-palamara</t>
  </si>
  <si>
    <t>Pallini</t>
  </si>
  <si>
    <t>matteo.pallini17@gmail.com</t>
  </si>
  <si>
    <t>https://www.linkedin.com/in/matteopallini/</t>
  </si>
  <si>
    <t>Vortexa</t>
  </si>
  <si>
    <t>Cirium</t>
  </si>
  <si>
    <t>Pantano</t>
  </si>
  <si>
    <t>ludovicapant@gmail.com</t>
  </si>
  <si>
    <t>ludovica.pantano@gs.com</t>
  </si>
  <si>
    <t>https://www.linkedin.com/in/ludovica-pantano-3644141a4/</t>
  </si>
  <si>
    <t>Papa</t>
  </si>
  <si>
    <t>01/1991</t>
  </si>
  <si>
    <t>Pareek</t>
  </si>
  <si>
    <t>Harshit</t>
  </si>
  <si>
    <t>hpareek8@gmail.com</t>
  </si>
  <si>
    <t>https://www.linkedin.com/in/hpareek8/</t>
  </si>
  <si>
    <t>Strategy&amp;</t>
  </si>
  <si>
    <t>Parlangeli</t>
  </si>
  <si>
    <t>giovanninobobs@gmail.com</t>
  </si>
  <si>
    <t>https://www.linkedin.com/in/giovannimp/</t>
  </si>
  <si>
    <t>Parmantier</t>
  </si>
  <si>
    <t>parmantier.vieri@gmail.com</t>
  </si>
  <si>
    <t>https://www.linkedin.com/in/vieri-parmantier-46892a29/</t>
  </si>
  <si>
    <t>Amina Bank</t>
  </si>
  <si>
    <t>Zug</t>
  </si>
  <si>
    <t>Parravicini</t>
  </si>
  <si>
    <t>Cino</t>
  </si>
  <si>
    <t>Pascolini</t>
  </si>
  <si>
    <t>federico.pascolini@hotmail.it</t>
  </si>
  <si>
    <t>https://www.linkedin.com/in/federico-pascolini/</t>
  </si>
  <si>
    <t>Pastore</t>
  </si>
  <si>
    <t>pastore.giacomo@gmail.com</t>
  </si>
  <si>
    <t>https://www.linkedin.com/in/giacomo-pastore-7219376</t>
  </si>
  <si>
    <t>Green Arrow Capital</t>
  </si>
  <si>
    <t>Europa Investimenti</t>
  </si>
  <si>
    <t>09/2011</t>
  </si>
  <si>
    <t>Pastrello</t>
  </si>
  <si>
    <t>frapastrello@gmail.com</t>
  </si>
  <si>
    <t>https://www.linkedin.com/in/francesco-pastrello-ab61aa221/</t>
  </si>
  <si>
    <t>Hawksford</t>
  </si>
  <si>
    <t>Pedrinoni</t>
  </si>
  <si>
    <t>fpedrinoni@gmail.com</t>
  </si>
  <si>
    <t>federico.pedrinoni@revolut.com</t>
  </si>
  <si>
    <t>https://www.linkedin.com/in/federico-pedrinoni/</t>
  </si>
  <si>
    <t>Peluffo</t>
  </si>
  <si>
    <t>peluffan@gmail.com</t>
  </si>
  <si>
    <t>angelo.peluffo@fiat.com</t>
  </si>
  <si>
    <t>https://www.linkedin.com/in/angelopeluffo/</t>
  </si>
  <si>
    <t>Fiat Chrysler Automobiles (FCA)</t>
  </si>
  <si>
    <t>BASF Coatings Refinish S.p.A.</t>
  </si>
  <si>
    <t>03/2001</t>
  </si>
  <si>
    <t>Pennetta</t>
  </si>
  <si>
    <t>mino_pennetta@hotmail.com</t>
  </si>
  <si>
    <t>Pepe</t>
  </si>
  <si>
    <t>mario.pepe@arrive.com</t>
  </si>
  <si>
    <t>pepe.mario@outlook.it, mario.pepe@jeme.it</t>
  </si>
  <si>
    <t>https://www.linkedin.com/in/mariopepe/</t>
  </si>
  <si>
    <t>Arrive</t>
  </si>
  <si>
    <t>Quandoo</t>
  </si>
  <si>
    <t>Peres</t>
  </si>
  <si>
    <t>alessandra_peres@swissre.com</t>
  </si>
  <si>
    <t>https://www.linkedin.com/ilessandra-peres-21b2a2b/</t>
  </si>
  <si>
    <t>Swiss Re Corporate Solutions</t>
  </si>
  <si>
    <t>FC Rimaco - Stellantis</t>
  </si>
  <si>
    <t>Perfetti</t>
  </si>
  <si>
    <t>francescaperf95@gmail.com</t>
  </si>
  <si>
    <t>https://www.linkedin.com/in/francesca-perfetti-706771171/</t>
  </si>
  <si>
    <t>Azzurra Capital</t>
  </si>
  <si>
    <t>Herbert Smith Freehills</t>
  </si>
  <si>
    <t>Persico</t>
  </si>
  <si>
    <t>ricc.persico@gmail.com</t>
  </si>
  <si>
    <t>https://www.linkedin.com/in/riccardopersico</t>
  </si>
  <si>
    <t>Arcano Partners</t>
  </si>
  <si>
    <t>Apollo Global Management Inc.</t>
  </si>
  <si>
    <t>Pesce</t>
  </si>
  <si>
    <t>michele.pesce@gmail.com</t>
  </si>
  <si>
    <t>michele.pesce@jakala.com</t>
  </si>
  <si>
    <t>https://www.linkedin.com/in/michelepesce/</t>
  </si>
  <si>
    <t>Luxottica Wholesale North America</t>
  </si>
  <si>
    <t>Petrella</t>
  </si>
  <si>
    <t>giovanni.petrella@unicatt.it</t>
  </si>
  <si>
    <t>https://www.linkedin.com/in/giovanni-petrella-5164254</t>
  </si>
  <si>
    <t>European Securities and Markets Authority (ESMA)</t>
  </si>
  <si>
    <t>Università Cattolica</t>
  </si>
  <si>
    <t>Petrosillo</t>
  </si>
  <si>
    <t>Palma</t>
  </si>
  <si>
    <t>https://www.linkedin.com/in/palma-petrosillo-a45b8144/</t>
  </si>
  <si>
    <t>NaN</t>
  </si>
  <si>
    <t>Bari</t>
  </si>
  <si>
    <t>Petruzzelli</t>
  </si>
  <si>
    <t>giov.petruzzelli@gmail.com</t>
  </si>
  <si>
    <t>https://www.linkedin.com/in/giovannipetruzzelli</t>
  </si>
  <si>
    <t>Piacentini</t>
  </si>
  <si>
    <t>piacentini@gmail.com</t>
  </si>
  <si>
    <t>https://www.linkedin.com/in/massimopiacentini/</t>
  </si>
  <si>
    <t>Huawei Technologies</t>
  </si>
  <si>
    <t>Alcatel-Lucent</t>
  </si>
  <si>
    <t>03/2014</t>
  </si>
  <si>
    <t>Piattoli</t>
  </si>
  <si>
    <t>paolapiat@yahoo.it</t>
  </si>
  <si>
    <t>https://www.linkedin.com/in/paola-piattoli-8953635/</t>
  </si>
  <si>
    <t>Webank</t>
  </si>
  <si>
    <t>Piccinelli</t>
  </si>
  <si>
    <t>Nicolas</t>
  </si>
  <si>
    <t>nicolaspiccinelli@gmail.com</t>
  </si>
  <si>
    <t>nicolas.piccinelli@allianz.com</t>
  </si>
  <si>
    <t>https://www.linkedin.com/in/nicolas-piccinelli-97887762</t>
  </si>
  <si>
    <t>Pierantozzi</t>
  </si>
  <si>
    <t>pierantozzi@iol.it</t>
  </si>
  <si>
    <t>https://www.linkedin.com/in/david-pierantozzi-0a44a5b/</t>
  </si>
  <si>
    <t>Studio Pierantozzi</t>
  </si>
  <si>
    <t>Nexus Stp</t>
  </si>
  <si>
    <t>Pignataro</t>
  </si>
  <si>
    <t>valentina.pignataro@oliverwyman.com</t>
  </si>
  <si>
    <t>valentinapignataro01@yahoo.it</t>
  </si>
  <si>
    <t>https://www.linkedin.com/in/valentinapignataro01/</t>
  </si>
  <si>
    <t>Pippo</t>
  </si>
  <si>
    <t>lorenzo.pippo@outlook.com</t>
  </si>
  <si>
    <t>https://www.linkedin.com/in/lorenzo-pippo-a78903144/</t>
  </si>
  <si>
    <t>Hotiday</t>
  </si>
  <si>
    <t>Stoneweg</t>
  </si>
  <si>
    <t>12/2023</t>
  </si>
  <si>
    <t>11/2025</t>
  </si>
  <si>
    <t>Pirota</t>
  </si>
  <si>
    <t>pirota@petalo.net</t>
  </si>
  <si>
    <t>https://www.linkedin.com/in/matteo-pirota-58375795/</t>
  </si>
  <si>
    <t>Petalo</t>
  </si>
  <si>
    <t>Donati Group S.p.A.</t>
  </si>
  <si>
    <t>Pisu</t>
  </si>
  <si>
    <t>antoniopisu@hotmail.com</t>
  </si>
  <si>
    <t>https://www.linkedin.com/in/antonio-pisu-3a0b463/</t>
  </si>
  <si>
    <t>Mediacomm S.r.l.</t>
  </si>
  <si>
    <t>04/2006</t>
  </si>
  <si>
    <t>Piva</t>
  </si>
  <si>
    <t>silviapiva@tiscali.it</t>
  </si>
  <si>
    <t>https://www.linkedin.com/in/silvia-piva-729b451</t>
  </si>
  <si>
    <t>Lloyds Banking Group</t>
  </si>
  <si>
    <t>TwentyFour Asset Management</t>
  </si>
  <si>
    <t>Pluchino</t>
  </si>
  <si>
    <t>simone.pluchino@gmail.com</t>
  </si>
  <si>
    <t>https://www.linkedin.com/in/simone-pluchino</t>
  </si>
  <si>
    <t>Finalta by McKinsey &amp; Company</t>
  </si>
  <si>
    <t>Podestà</t>
  </si>
  <si>
    <t>https://www.linkedin.com/in/lorenzo-podestà-6a940a/</t>
  </si>
  <si>
    <t>Sunnergy Group S.p.A.</t>
  </si>
  <si>
    <t>CARINI FIDUCIARIA S.p.A.</t>
  </si>
  <si>
    <t>09/1994</t>
  </si>
  <si>
    <t>Poletti de Chaurand</t>
  </si>
  <si>
    <t>gm.polettidechaurand@gmail.com</t>
  </si>
  <si>
    <t>https://www.linkedin.com/in/giulia-poletti-de-chaurand</t>
  </si>
  <si>
    <t>HG</t>
  </si>
  <si>
    <t>Poltronieri</t>
  </si>
  <si>
    <t>Giulietta</t>
  </si>
  <si>
    <t>giulietta.poltronieri@gmail.com</t>
  </si>
  <si>
    <t>https://www.linkedin.com/in/giuliettapoltronieri/</t>
  </si>
  <si>
    <t>Ponti</t>
  </si>
  <si>
    <t>giorgiaponti14@gmail.com</t>
  </si>
  <si>
    <t>https://www.linkedin.com/in/giorgiaponti14/</t>
  </si>
  <si>
    <t>VC Partners SGR S.p.A. – Gestore EuVECA</t>
  </si>
  <si>
    <t>Pozzati</t>
  </si>
  <si>
    <t>pozziriccardo1999@gmail.com</t>
  </si>
  <si>
    <t>riccardo.pozzi@oliverwyman.com</t>
  </si>
  <si>
    <t>https://www.linkedin.com/in/riccardopozzi/</t>
  </si>
  <si>
    <t>Pozzoli</t>
  </si>
  <si>
    <t>aldopozzoli@hotmail.com</t>
  </si>
  <si>
    <t>https://www.linkedin.com/in/aldopozzoli/</t>
  </si>
  <si>
    <t>Prior</t>
  </si>
  <si>
    <t>giovanni.prior@gmail.com</t>
  </si>
  <si>
    <t>https://www.linkedin.com/in/gprior/</t>
  </si>
  <si>
    <t>Padova</t>
  </si>
  <si>
    <t>AzzurroDigitale</t>
  </si>
  <si>
    <t>Prometti</t>
  </si>
  <si>
    <t>Cinzia</t>
  </si>
  <si>
    <t>Puccio</t>
  </si>
  <si>
    <t>dr.mpuccio@gmail.com</t>
  </si>
  <si>
    <t>https://www.linkedin.com/in/massimo-puccio-6a48501/</t>
  </si>
  <si>
    <t>Augens Capital</t>
  </si>
  <si>
    <t>HOFI</t>
  </si>
  <si>
    <t>Puddu</t>
  </si>
  <si>
    <t>fabiopuddu78@yahoo.it</t>
  </si>
  <si>
    <t>https://www.linkedin.com/in/fabio-puddu-b176a21/</t>
  </si>
  <si>
    <t>CocktailsMachine</t>
  </si>
  <si>
    <t>Sisal S.p.A.</t>
  </si>
  <si>
    <t>Puglisi</t>
  </si>
  <si>
    <t>matteo@selectmodel.com</t>
  </si>
  <si>
    <t>https://www.linkedin.com/in/matteo-puglisi-a556b63/</t>
  </si>
  <si>
    <t>MP MANAGEMENT</t>
  </si>
  <si>
    <t>Querini</t>
  </si>
  <si>
    <t>Radaelli</t>
  </si>
  <si>
    <t>guido.radaelli@hotmail.it</t>
  </si>
  <si>
    <t>guido.radaelli@luxottica.com</t>
  </si>
  <si>
    <t>https://www.linkedin.com/in/guidoradaelli/</t>
  </si>
  <si>
    <t>Luxottica</t>
  </si>
  <si>
    <t>12/2008</t>
  </si>
  <si>
    <t>Radici</t>
  </si>
  <si>
    <t>alessandro.radici@seragro.com.ar</t>
  </si>
  <si>
    <t>https://www.linkedin.com/ilessandro-radici-9988317/</t>
  </si>
  <si>
    <t>Ser Beef</t>
  </si>
  <si>
    <t>San Luis</t>
  </si>
  <si>
    <t>08/2012</t>
  </si>
  <si>
    <t>07/2015</t>
  </si>
  <si>
    <t>New Jersey</t>
  </si>
  <si>
    <t>Raimondi</t>
  </si>
  <si>
    <t>edoardo.giovanni.raimondi@gmail.com</t>
  </si>
  <si>
    <t>https://www.linkedin.com/in/edoardoraimondi/</t>
  </si>
  <si>
    <t>Trenders</t>
  </si>
  <si>
    <t>Talent Garden</t>
  </si>
  <si>
    <t>02/2014</t>
  </si>
  <si>
    <t>edoardogiovanniraimondi@gmail.com</t>
  </si>
  <si>
    <t>edoardo.raimondi@talentgarden.com</t>
  </si>
  <si>
    <t>https://www.linkedin.com/in/edoardoraimondi</t>
  </si>
  <si>
    <t>SOLO</t>
  </si>
  <si>
    <t>Raschi</t>
  </si>
  <si>
    <t>francesco.raschi@seamilano.eu</t>
  </si>
  <si>
    <t>https://www.linkedin.com/in/francesco-raschi-7432601/</t>
  </si>
  <si>
    <t>SEA Milan Airports</t>
  </si>
  <si>
    <t>Rastelli</t>
  </si>
  <si>
    <t>c.rastelli@adinformer.it</t>
  </si>
  <si>
    <t>https://www.linkedin.com/in/carlo-maria-rastelli-a7991193/</t>
  </si>
  <si>
    <t>Adinformer</t>
  </si>
  <si>
    <t>Fidenza</t>
  </si>
  <si>
    <t>Ravalli</t>
  </si>
  <si>
    <t>simoneravalli94@gmail.com</t>
  </si>
  <si>
    <t>https://www.linkedin.com/in/ravallisimone/</t>
  </si>
  <si>
    <t>Rebecchi</t>
  </si>
  <si>
    <t>grebecchi98@gmail.com</t>
  </si>
  <si>
    <t>https://www.linkedin.com/in/giacomorebecchi/</t>
  </si>
  <si>
    <t>Regeni</t>
  </si>
  <si>
    <t>Pierantonio</t>
  </si>
  <si>
    <t>p.regeni@lumberjack.it</t>
  </si>
  <si>
    <t>https://www.linkedin.com/in/pierantonio-regeni-9a7193b1/</t>
  </si>
  <si>
    <t>Scarpa</t>
  </si>
  <si>
    <t>Asolo</t>
  </si>
  <si>
    <t>Reggiardi</t>
  </si>
  <si>
    <t>Sergio</t>
  </si>
  <si>
    <t>sergio.reggiardi@g-icap.com</t>
  </si>
  <si>
    <t>https://www.linkedin.com/in/sergio-reggiardi-9759306/</t>
  </si>
  <si>
    <t>TP ICAP</t>
  </si>
  <si>
    <t>Reyneri</t>
  </si>
  <si>
    <t>guidorey@hotmail.it</t>
  </si>
  <si>
    <t>https://www.linkedin.com/in/guido-reyneri-675452170/</t>
  </si>
  <si>
    <t>Macquarie Group</t>
  </si>
  <si>
    <t>Riboldi</t>
  </si>
  <si>
    <t>elisariboldi@hotmail.com</t>
  </si>
  <si>
    <t>https://www.linkedin.com/in/elisariboldi/</t>
  </si>
  <si>
    <t>Nestlé</t>
  </si>
  <si>
    <t>Richiardi</t>
  </si>
  <si>
    <t>richiardim@hotmail.it</t>
  </si>
  <si>
    <t>https://www.linkedin.com/in/matteorichiardi/</t>
  </si>
  <si>
    <t>IBM</t>
  </si>
  <si>
    <t>Creatio</t>
  </si>
  <si>
    <t>Robbi</t>
  </si>
  <si>
    <t>annavittoriarobbi@gmail.com</t>
  </si>
  <si>
    <t>anna_robbi@yahoo.com</t>
  </si>
  <si>
    <t>https://www.linkedin.com/innarobbi</t>
  </si>
  <si>
    <t>FE fundinfo</t>
  </si>
  <si>
    <t>Heidrick &amp; Struggles</t>
  </si>
  <si>
    <t>Rocca</t>
  </si>
  <si>
    <t>Sebastian</t>
  </si>
  <si>
    <t>sebastianrocca@yahoo.co.uk</t>
  </si>
  <si>
    <t>https://www.linkedin.com/in/sebastianrocca</t>
  </si>
  <si>
    <t>Micro Rainbow</t>
  </si>
  <si>
    <t>ILGA</t>
  </si>
  <si>
    <t>Non profit</t>
  </si>
  <si>
    <t>Rodriquez</t>
  </si>
  <si>
    <t>Mattia</t>
  </si>
  <si>
    <t>mattia.rodriquez@gmail.com</t>
  </si>
  <si>
    <t>https://www.linkedin.com/in/mattia-rodriquez-73a00856/</t>
  </si>
  <si>
    <t>03/2013</t>
  </si>
  <si>
    <t>06/2013</t>
  </si>
  <si>
    <t>Romussi</t>
  </si>
  <si>
    <t>elisabetta.romussi@bnpparibas.com</t>
  </si>
  <si>
    <t>https://www.linkedin.com/in/elisabetta-romussi-3aa9bb/</t>
  </si>
  <si>
    <t>BNP Paribas Securities Services</t>
  </si>
  <si>
    <t>Ronchiato</t>
  </si>
  <si>
    <t>andrearonchiato@hotmail.com</t>
  </si>
  <si>
    <t>https://www.linkedin.com/in/andrea-ronchiato-8216512/</t>
  </si>
  <si>
    <t>Banca Investis</t>
  </si>
  <si>
    <t>SC Lowy</t>
  </si>
  <si>
    <t>Rosati</t>
  </si>
  <si>
    <t>filodp@hotmail.com</t>
  </si>
  <si>
    <t>https://www.linkedin.com/in/filippo-rosati-7ba9b76/</t>
  </si>
  <si>
    <t>Rosenberg</t>
  </si>
  <si>
    <t>Melissa</t>
  </si>
  <si>
    <t>https://www.linkedin.com/in/melissa-rosenberg-741b70182/</t>
  </si>
  <si>
    <t>Peregrine</t>
  </si>
  <si>
    <t>31/07/2022</t>
  </si>
  <si>
    <t>Rosina</t>
  </si>
  <si>
    <t>silvia.rosina@gmail.com</t>
  </si>
  <si>
    <t>https://www.linkedin.com/in/silviarosina/</t>
  </si>
  <si>
    <t>Currently Not Working</t>
  </si>
  <si>
    <t>x</t>
  </si>
  <si>
    <t>Seat Pagine Gialle S.p.A.</t>
  </si>
  <si>
    <t>Rossetti</t>
  </si>
  <si>
    <t>marcor.arena@gmail.com</t>
  </si>
  <si>
    <t>https://www.linkedin.com/in/marcorossetti</t>
  </si>
  <si>
    <t>GateClaim</t>
  </si>
  <si>
    <t>Bucharest</t>
  </si>
  <si>
    <t>RO</t>
  </si>
  <si>
    <t>Crystal Systems</t>
  </si>
  <si>
    <t>riccardo.rossetti@studbocconi.it</t>
  </si>
  <si>
    <t>https://www.linkedin.com/in/riccardo-rossetti-5653b315a/</t>
  </si>
  <si>
    <t>Duke University</t>
  </si>
  <si>
    <t>Durham</t>
  </si>
  <si>
    <t>Rossi</t>
  </si>
  <si>
    <t>Ivan</t>
  </si>
  <si>
    <t>ivan.rossi@mba.sdabocconi.it</t>
  </si>
  <si>
    <t>ivanrossi@unicreditleasing.eu</t>
  </si>
  <si>
    <t>https://www.linkedin.com/in/ivan-rossi-6256b8/</t>
  </si>
  <si>
    <t>ValueBioTech Srl</t>
  </si>
  <si>
    <t>camillaleliatea@hotmail.com</t>
  </si>
  <si>
    <t>https://www.linkedin.com/in/camilla-rossi-91348a3</t>
  </si>
  <si>
    <t>Oracle</t>
  </si>
  <si>
    <t>Sun Microsystems</t>
  </si>
  <si>
    <t>federicorossi88@gmail.com</t>
  </si>
  <si>
    <t>https://www.linkedin.com/in/federicolorenzorossi/</t>
  </si>
  <si>
    <t>Ferrari</t>
  </si>
  <si>
    <t>Modena</t>
  </si>
  <si>
    <t>Rosso</t>
  </si>
  <si>
    <t>riccardo.rosso@ckdelta.ai</t>
  </si>
  <si>
    <t>https://www.linkedin.com/in/riccardo-rosso/</t>
  </si>
  <si>
    <t>CKDelta</t>
  </si>
  <si>
    <t>Accenture Italia</t>
  </si>
  <si>
    <t>Rozzoni</t>
  </si>
  <si>
    <t>edoardo.rozzoni@leroymerlin.it</t>
  </si>
  <si>
    <t>https://www.linkedin.com/in/rozzoni</t>
  </si>
  <si>
    <t>BID Company</t>
  </si>
  <si>
    <t>Leroy Merlin</t>
  </si>
  <si>
    <t>Rubinacci</t>
  </si>
  <si>
    <t>francesco.rubinacci@bcpartners.com</t>
  </si>
  <si>
    <t>https://www.linkedin.com/in/francesco-rubinacci/</t>
  </si>
  <si>
    <t>BC Partners</t>
  </si>
  <si>
    <t>Runchi</t>
  </si>
  <si>
    <t>daniela.runchi@gmail.com</t>
  </si>
  <si>
    <t>https://www.linkedin.com/in/danielarunchi</t>
  </si>
  <si>
    <t>President of JADE Italia</t>
  </si>
  <si>
    <t>Rusciadelli</t>
  </si>
  <si>
    <t>teoruscia@yahoo.it</t>
  </si>
  <si>
    <t>https://www.linkedin.com/in/matteo-rusciadelli-79240744/</t>
  </si>
  <si>
    <t>Gruppo Cassa Depositi e Prestiti</t>
  </si>
  <si>
    <t>Good Banks NBM S.p.A.</t>
  </si>
  <si>
    <t>Jesi</t>
  </si>
  <si>
    <t>Sacco</t>
  </si>
  <si>
    <t>francesco@francescosacco.com</t>
  </si>
  <si>
    <t>https://www.linkedin.com/in/frsacco</t>
  </si>
  <si>
    <t>SDA Bocconi – Università dell'Insubria – StartupEconomy</t>
  </si>
  <si>
    <t>S3K S.p.A. | Security of the Third Millennium</t>
  </si>
  <si>
    <t>Saco</t>
  </si>
  <si>
    <t>Dimitri</t>
  </si>
  <si>
    <t>dimitrisaco@hotmail.it</t>
  </si>
  <si>
    <t>https://www.linkedin.com/in/dimitri-saco-b895613b</t>
  </si>
  <si>
    <t>Goldoni</t>
  </si>
  <si>
    <t>11/2015</t>
  </si>
  <si>
    <t>Sainaghi</t>
  </si>
  <si>
    <t>giacomosainaghi@gmail.com</t>
  </si>
  <si>
    <t>https://www.linkedin.com/in/giacomo-sainaghi-52857790/</t>
  </si>
  <si>
    <t>Bolton</t>
  </si>
  <si>
    <t>Sala</t>
  </si>
  <si>
    <t>https://www.linkedin.com/in/francesca-sala-669b4a195/</t>
  </si>
  <si>
    <t>Demant</t>
  </si>
  <si>
    <t>Novo Nordisk</t>
  </si>
  <si>
    <t>DK</t>
  </si>
  <si>
    <t>Sallorenzo</t>
  </si>
  <si>
    <t>federicasallorenzo@hotmail.com</t>
  </si>
  <si>
    <t>https://www.linkedin.com/in/federica-sallorenzo-1953b131/</t>
  </si>
  <si>
    <t>Fondo Italiano d'Investimento SGR</t>
  </si>
  <si>
    <t>Salsi</t>
  </si>
  <si>
    <t>andrea.salsi@hotmail.it</t>
  </si>
  <si>
    <t>andrea.salsi@nortonrose.com</t>
  </si>
  <si>
    <t>https://www.linkedin.com/indrea-salsi-6722339</t>
  </si>
  <si>
    <t>Norton Rose Fulbright</t>
  </si>
  <si>
    <t>Salvadori</t>
  </si>
  <si>
    <t>chiarasalvadori@trattoriamirta.it</t>
  </si>
  <si>
    <t>chiarasalvadori@libero.it</t>
  </si>
  <si>
    <t>https://www.linkedin.com/in/chiara-salvadori-6526869</t>
  </si>
  <si>
    <t>Trattoria Mirta</t>
  </si>
  <si>
    <t>Les Folies Bergère Café</t>
  </si>
  <si>
    <t>Monza</t>
  </si>
  <si>
    <t>Salvati</t>
  </si>
  <si>
    <t>andrea@hiluxia.com</t>
  </si>
  <si>
    <t>https://www.linkedin.com/indrea-salvati</t>
  </si>
  <si>
    <t>Luxia</t>
  </si>
  <si>
    <t>Cleo (and also DAZN)</t>
  </si>
  <si>
    <t>Salvioni</t>
  </si>
  <si>
    <t>mattia.salvioni@it.ey.com</t>
  </si>
  <si>
    <t>salvioni.mattia@gmail.com</t>
  </si>
  <si>
    <t>https://www.linkedin.com/in/mattia-salvioni-3bb947a7/</t>
  </si>
  <si>
    <t>Merate</t>
  </si>
  <si>
    <t>Public Service</t>
  </si>
  <si>
    <t>Sanchez Serra</t>
  </si>
  <si>
    <t>silvia.sanchez@oliverwyman.com</t>
  </si>
  <si>
    <t>silviasanchezserra@gmail.com</t>
  </si>
  <si>
    <t>https://www.linkedin.com/in/silvia-sanchez-serra/</t>
  </si>
  <si>
    <t>Groupe Clarins</t>
  </si>
  <si>
    <t>Santa Maria</t>
  </si>
  <si>
    <t>gattonoe@icloud.com</t>
  </si>
  <si>
    <t>contact form of her company - https://isuttigioielli.com/pages/contact</t>
  </si>
  <si>
    <t>https://www.linkedin.com/in/laura-tiziana-santa-maria-b0a3aa6a/</t>
  </si>
  <si>
    <t>Isutti Gioielli</t>
  </si>
  <si>
    <t>Serafino Consoli S.p.A.</t>
  </si>
  <si>
    <t>Santoro</t>
  </si>
  <si>
    <t>Graziano</t>
  </si>
  <si>
    <t>grazianosantoro@libero.it</t>
  </si>
  <si>
    <t>https://www.linkedin.com/in/graziano-santoro-aa347259/</t>
  </si>
  <si>
    <t>Eni Global Energy Markets S.p.A.</t>
  </si>
  <si>
    <t>San Donato</t>
  </si>
  <si>
    <t>Sassi</t>
  </si>
  <si>
    <t>sassi.elena@libero.it</t>
  </si>
  <si>
    <t>HR Consulting – Italy</t>
  </si>
  <si>
    <t>Obiettivo</t>
  </si>
  <si>
    <t>Sattin</t>
  </si>
  <si>
    <t>Loretta</t>
  </si>
  <si>
    <t>lorettasattin@hotmail.com</t>
  </si>
  <si>
    <t>loretta.sattin@pinellidruda.it</t>
  </si>
  <si>
    <t>https://www.linkedin.com/in/loretta-sattin-85549ab1/</t>
  </si>
  <si>
    <t>Dottore Commercialista</t>
  </si>
  <si>
    <t>Pinelli &amp; Druda</t>
  </si>
  <si>
    <t>f.sattin@backtowork.it</t>
  </si>
  <si>
    <t>https://www.linkedin.com/in/francesca-sattin-71274710b/</t>
  </si>
  <si>
    <t>Weltix</t>
  </si>
  <si>
    <t>BacktoWork</t>
  </si>
  <si>
    <t>Hubs</t>
  </si>
  <si>
    <t>Scaffidi</t>
  </si>
  <si>
    <t>Marisa</t>
  </si>
  <si>
    <t>marisa_scaffidi@yahoo.de</t>
  </si>
  <si>
    <t>https://www.linkedin.com/in/marisascaffidi</t>
  </si>
  <si>
    <t>ZEISS Medical Technology</t>
  </si>
  <si>
    <t>Oberkochen</t>
  </si>
  <si>
    <t>Siemens Healthineers</t>
  </si>
  <si>
    <t>Erlangen</t>
  </si>
  <si>
    <t>Schettini</t>
  </si>
  <si>
    <t>andrea.schettini22@gmail.com</t>
  </si>
  <si>
    <t>https://www.linkedin.com/in/andreaschettini/</t>
  </si>
  <si>
    <t>BlueGem Capital Partners</t>
  </si>
  <si>
    <t>Schiavon</t>
  </si>
  <si>
    <t>Emma</t>
  </si>
  <si>
    <t>Alberta</t>
  </si>
  <si>
    <t>emmas@amazon.com</t>
  </si>
  <si>
    <t>https://www.linkedin.com/in/schiavonemma/</t>
  </si>
  <si>
    <t>Elavon Europe</t>
  </si>
  <si>
    <t>Schiavone</t>
  </si>
  <si>
    <t>namedcarla@gmail.com</t>
  </si>
  <si>
    <t>https://www.linkedin.com/in/carlaschiavone</t>
  </si>
  <si>
    <t>WeOne S.r.l.</t>
  </si>
  <si>
    <t>Assessorato Crescita Culturale - Roma Capitale</t>
  </si>
  <si>
    <t>Schirò</t>
  </si>
  <si>
    <t>Semi</t>
  </si>
  <si>
    <t>Efrem</t>
  </si>
  <si>
    <t>esse.k@libero.it</t>
  </si>
  <si>
    <t>https://www.linkedin.com/in/efrem-maria-semi-94a1211a/</t>
  </si>
  <si>
    <t>Bank Pekao</t>
  </si>
  <si>
    <t>05/2012</t>
  </si>
  <si>
    <t>Seoni</t>
  </si>
  <si>
    <t>stefano.seoni3@gmail.com</t>
  </si>
  <si>
    <t>https://www.linkedin.com/in/stefano-seoni/</t>
  </si>
  <si>
    <t>Vitale</t>
  </si>
  <si>
    <t>Sfragara</t>
  </si>
  <si>
    <t>lucasfragara@gmail.com</t>
  </si>
  <si>
    <t>https://www.linkedin.com/in/lucasfragara/</t>
  </si>
  <si>
    <t>Massachusetts Institute of Technology</t>
  </si>
  <si>
    <t>Sganga</t>
  </si>
  <si>
    <t>caterina.sganga@bancagenerali.it</t>
  </si>
  <si>
    <t>https://www.linkedin.com/in/caterinasgangaprivatebanker</t>
  </si>
  <si>
    <t>Banca Generali Private Banking</t>
  </si>
  <si>
    <t>Azimut Consulenza SIM</t>
  </si>
  <si>
    <t>Shi</t>
  </si>
  <si>
    <t>Jiacheng</t>
  </si>
  <si>
    <t>shidavide00@gmail.com</t>
  </si>
  <si>
    <t>jiacheng.shi@citadel.com</t>
  </si>
  <si>
    <t>https://www.linkedin.com/in/jiacheng-david-shi/</t>
  </si>
  <si>
    <t>Citadel</t>
  </si>
  <si>
    <t>Miami</t>
  </si>
  <si>
    <t>31/09/2021</t>
  </si>
  <si>
    <t>Shoshan</t>
  </si>
  <si>
    <t>Pierleone</t>
  </si>
  <si>
    <t>Evan</t>
  </si>
  <si>
    <t>pierleone.evenshoshan@studbocconi.it</t>
  </si>
  <si>
    <t>https://www.linkedin.com/in/pierleonees/</t>
  </si>
  <si>
    <t>Zeno Partners</t>
  </si>
  <si>
    <t>Silipigni</t>
  </si>
  <si>
    <t>camilla.silipigni@gmail.com</t>
  </si>
  <si>
    <t>https://www.linkedin.com/in/camilla-silipigni-7693993/</t>
  </si>
  <si>
    <t>LCS Group</t>
  </si>
  <si>
    <t>Usmate Velate</t>
  </si>
  <si>
    <t>Esselunga</t>
  </si>
  <si>
    <t>Sita</t>
  </si>
  <si>
    <t>nics@bendingspoons.com</t>
  </si>
  <si>
    <t>https://www.linkedin.com/in/nicola-sita-180266132/</t>
  </si>
  <si>
    <t>Solarino</t>
  </si>
  <si>
    <t>asolarin@live.com</t>
  </si>
  <si>
    <t>angelosolarino@gmail.com</t>
  </si>
  <si>
    <t>https://www.linkedin.com/ingelo-solarino-94696314/</t>
  </si>
  <si>
    <t>Durham University</t>
  </si>
  <si>
    <t>Solidoro</t>
  </si>
  <si>
    <t>emanuele.solidoro@gmail.com</t>
  </si>
  <si>
    <t>https://www.linkedin.com/in/emanuele-solidoro-59a6b52</t>
  </si>
  <si>
    <t>Prima Assicurazioni</t>
  </si>
  <si>
    <t>Sollorenzo</t>
  </si>
  <si>
    <t>Sorgi</t>
  </si>
  <si>
    <t>elisa.sorgi@hotmail.com</t>
  </si>
  <si>
    <t>https://www.linkedin.com/in/elisa-sorgi-314972</t>
  </si>
  <si>
    <t>Miu Miu</t>
  </si>
  <si>
    <t>ES Consulting</t>
  </si>
  <si>
    <t>09/2015</t>
  </si>
  <si>
    <t>Sormani</t>
  </si>
  <si>
    <t>msormani@varennecapital.com</t>
  </si>
  <si>
    <t>https://www.linkedin.com/in/marco-sormani-3a8930/</t>
  </si>
  <si>
    <t>Varenne Capital Partners</t>
  </si>
  <si>
    <t>Corporate Value Associates</t>
  </si>
  <si>
    <t>01/1995</t>
  </si>
  <si>
    <t>Sozzani</t>
  </si>
  <si>
    <t>alessandro.sozzani@hotmail.it</t>
  </si>
  <si>
    <t>alessandro.sozzani@ab-inbev.com</t>
  </si>
  <si>
    <t>https://www.linkedin.com/in/alessandro-sozzani/</t>
  </si>
  <si>
    <t>AB InBev</t>
  </si>
  <si>
    <t>Barilla Group</t>
  </si>
  <si>
    <t>Spaggiari</t>
  </si>
  <si>
    <t>veronicaspaggiari@gmail.com</t>
  </si>
  <si>
    <t>https://www.linkedin.com/in/veronica-spaggiari-a8438a104/</t>
  </si>
  <si>
    <t>ManyPets</t>
  </si>
  <si>
    <t>Sparer</t>
  </si>
  <si>
    <t>Wolfgang</t>
  </si>
  <si>
    <t>wsparer@yahoo.de</t>
  </si>
  <si>
    <t>https://www.linkedin.com/in/wolfgang-sparer-ba2906/</t>
  </si>
  <si>
    <t>Various Entrepreneurial Activities</t>
  </si>
  <si>
    <t>Lazzeri Agricola S.r.l.</t>
  </si>
  <si>
    <t>Specchia</t>
  </si>
  <si>
    <t>njobbaas@gmail.com</t>
  </si>
  <si>
    <t>antonio.specchia@fastwebnet.it / aspecchia@laneconstruct.com</t>
  </si>
  <si>
    <t>https://www.linkedin.com/intonio-specchia-a34622</t>
  </si>
  <si>
    <t>The Lane Construction Corporation</t>
  </si>
  <si>
    <t>Cheshire</t>
  </si>
  <si>
    <t>Saipem</t>
  </si>
  <si>
    <t>01/2005</t>
  </si>
  <si>
    <t>Speciale</t>
  </si>
  <si>
    <t>vincenzoantonio.speciale@gmail.com</t>
  </si>
  <si>
    <t>https://www.linkedin.com/in/vincenzo-antonio-speciale-80b1314b/</t>
  </si>
  <si>
    <t>Gaillard Banifatemi Shelbaya Disputes</t>
  </si>
  <si>
    <t>Derains &amp; Gharavi</t>
  </si>
  <si>
    <t>Stasi</t>
  </si>
  <si>
    <t>Biagio</t>
  </si>
  <si>
    <t>biagio.stasi@gmail.com</t>
  </si>
  <si>
    <t>https://www.linkedin.com/in/biagiostasi/</t>
  </si>
  <si>
    <t>Studio Venture Lab</t>
  </si>
  <si>
    <t>Il Sole 24 Ore</t>
  </si>
  <si>
    <t>Stojadinovic</t>
  </si>
  <si>
    <t>Marija</t>
  </si>
  <si>
    <t>maristo229@gmail.com</t>
  </si>
  <si>
    <t>https://www.linkedin.com/in/marija-stojadinovic-b15575135/</t>
  </si>
  <si>
    <t>Belgrade</t>
  </si>
  <si>
    <t>RS</t>
  </si>
  <si>
    <t>Striano</t>
  </si>
  <si>
    <t>bruno.striano@ashurst.com</t>
  </si>
  <si>
    <t>brunostriano7@gmail.com</t>
  </si>
  <si>
    <t>https://www.linkedin.com/in/brunostriano/</t>
  </si>
  <si>
    <t>Ashurst</t>
  </si>
  <si>
    <t>Taffarello</t>
  </si>
  <si>
    <t>taffarelloa@gmail.com</t>
  </si>
  <si>
    <t>https://www.linkedin.com/in/anna-taffarello-a4454a251/</t>
  </si>
  <si>
    <t>Tagliapietra</t>
  </si>
  <si>
    <t>tagliapietraclaudio@gmail.com</t>
  </si>
  <si>
    <t>c.tagliapietra@pusc.it</t>
  </si>
  <si>
    <t>https://www.linkedin.com/in/claudiotagliapietra</t>
  </si>
  <si>
    <t>Pontifical University of Santa Croce</t>
  </si>
  <si>
    <t>European University Institute</t>
  </si>
  <si>
    <t>Florence</t>
  </si>
  <si>
    <t>Tamburini</t>
  </si>
  <si>
    <t>tamburini_gabriele@hotmail.com</t>
  </si>
  <si>
    <t>https://www.linkedin.com/in/gabriele-tamburini-b99a236</t>
  </si>
  <si>
    <t>Tarawneh</t>
  </si>
  <si>
    <t>michele.tarawneh@gmail.com</t>
  </si>
  <si>
    <t>https://www.linkedin.com/in/michele-tarawneh-2a51a952/</t>
  </si>
  <si>
    <t>Celsius Industries</t>
  </si>
  <si>
    <t>EQT Group</t>
  </si>
  <si>
    <t>Tartaglia</t>
  </si>
  <si>
    <t>giuseppe.tartaglia@gmail.com</t>
  </si>
  <si>
    <t>https://www.linkedin.com/in/giuseppetartaglia/</t>
  </si>
  <si>
    <t>Markwins Beauty Brands International Ltd</t>
  </si>
  <si>
    <t>Digital De Agostini</t>
  </si>
  <si>
    <t>Tel</t>
  </si>
  <si>
    <t>andrea.tel@gmail.com</t>
  </si>
  <si>
    <t>https://www.linkedin.com/in/andreatel/</t>
  </si>
  <si>
    <t>BAT</t>
  </si>
  <si>
    <t>11/2017</t>
  </si>
  <si>
    <t>Tempesta</t>
  </si>
  <si>
    <t>Aurelio</t>
  </si>
  <si>
    <t>aureliotempesta00@gmail.com</t>
  </si>
  <si>
    <t>https://www.linkedin.com/in/aureliotempesta/</t>
  </si>
  <si>
    <t>Tentorio</t>
  </si>
  <si>
    <t>tommaso.tentorio@unicreditgroup.eu</t>
  </si>
  <si>
    <t>https://www.linkedin.com/in/tommaso-tentorio-21796714</t>
  </si>
  <si>
    <t>UniCredit Bank AG</t>
  </si>
  <si>
    <t>07/2007</t>
  </si>
  <si>
    <t>Termine</t>
  </si>
  <si>
    <t>fede.termine@gmail.com</t>
  </si>
  <si>
    <t>https://www.linkedin.com/in/federica-termine/</t>
  </si>
  <si>
    <t>Teso</t>
  </si>
  <si>
    <t>filippo.teso@bain.com</t>
  </si>
  <si>
    <t>filippo.teso@jeme.it</t>
  </si>
  <si>
    <t>https://www.linkedin.com/in/filippoteso/</t>
  </si>
  <si>
    <t>Titomanlio</t>
  </si>
  <si>
    <t>emmatitomanlio@gmail.com</t>
  </si>
  <si>
    <t>https://www.linkedin.com/in/emmatitomanlio/</t>
  </si>
  <si>
    <t>Tomatis</t>
  </si>
  <si>
    <t>davide.tomatis@outlook.com</t>
  </si>
  <si>
    <t>davide.tomatis@jeme.it</t>
  </si>
  <si>
    <t>https://www.linkedin.com/in/davide-tomatis/</t>
  </si>
  <si>
    <t>Cuure</t>
  </si>
  <si>
    <t>Tommasi</t>
  </si>
  <si>
    <t>stefano.tommasi@innext.com</t>
  </si>
  <si>
    <t>https://www.linkedin.com/in/stefanotommasi/</t>
  </si>
  <si>
    <t>Dale Carnegie Training</t>
  </si>
  <si>
    <t>JADE Treasurer</t>
  </si>
  <si>
    <t>Tora</t>
  </si>
  <si>
    <t>gabriele.tora95@gmail.com</t>
  </si>
  <si>
    <t>https://www.linkedin.com/in/gabrieletora/</t>
  </si>
  <si>
    <t>Torrente</t>
  </si>
  <si>
    <t>mrco.torrente@gmail.com</t>
  </si>
  <si>
    <t>marco.torrente@gmail.com</t>
  </si>
  <si>
    <t>https://www.linkedin.com/in/marco-torrente/</t>
  </si>
  <si>
    <t>Bakuun Holdings</t>
  </si>
  <si>
    <t>Sabre Travel Network</t>
  </si>
  <si>
    <t>Toschi</t>
  </si>
  <si>
    <t>marcotoschi19@gmail.com</t>
  </si>
  <si>
    <t>https://www.linkedin.com/in/marco-toschi-01235831/</t>
  </si>
  <si>
    <t>Mercado Libre</t>
  </si>
  <si>
    <t>Bogota</t>
  </si>
  <si>
    <t>CO</t>
  </si>
  <si>
    <t>Colombia Fintech</t>
  </si>
  <si>
    <t>Bogotá</t>
  </si>
  <si>
    <t>Totaro</t>
  </si>
  <si>
    <t>Trentini</t>
  </si>
  <si>
    <t>Aurora</t>
  </si>
  <si>
    <t>aurora.trentini@gmail.com</t>
  </si>
  <si>
    <t>https://www.linkedin.com/iurora-trentini-448727157/</t>
  </si>
  <si>
    <t>Trisciuoglio</t>
  </si>
  <si>
    <t>aletrisc@gmail.com</t>
  </si>
  <si>
    <t>https://www.linkedin.com/ilessandro-trisciuoglio/</t>
  </si>
  <si>
    <t>Trisolini</t>
  </si>
  <si>
    <t>valeriatrisolini@libero.it</t>
  </si>
  <si>
    <t>https://www.linkedin.com/in/valeria-trisolini-210a02101/</t>
  </si>
  <si>
    <t>Banca d'Italia – Eurosistema</t>
  </si>
  <si>
    <t>Banco di Napoli</t>
  </si>
  <si>
    <t>Troiani</t>
  </si>
  <si>
    <t>Matilde</t>
  </si>
  <si>
    <t>matildetroiani@gmail.com</t>
  </si>
  <si>
    <t>https://www.linkedin.com/in/matilde-maria-troiani-b72a7a236/</t>
  </si>
  <si>
    <t>Trucco</t>
  </si>
  <si>
    <t>Oliviero</t>
  </si>
  <si>
    <t>olivierotrucco@gmail.com</t>
  </si>
  <si>
    <t>https://www.linkedin.com/in/olivierotrucco/</t>
  </si>
  <si>
    <t>Be | Shaping the Future</t>
  </si>
  <si>
    <t>Tufina</t>
  </si>
  <si>
    <t>Anjeza</t>
  </si>
  <si>
    <t>tufina@gmail.com</t>
  </si>
  <si>
    <t>Utizi</t>
  </si>
  <si>
    <t>francesco.utizi@gmail.com</t>
  </si>
  <si>
    <t>https://www.linkedin.com/in/francesco-utizi-4b9a351</t>
  </si>
  <si>
    <t>Long Term Partners (LTP)</t>
  </si>
  <si>
    <t>iStarter</t>
  </si>
  <si>
    <t>Valacchi</t>
  </si>
  <si>
    <t>andreavalacchi288@gmail.com</t>
  </si>
  <si>
    <t>https://www.linkedin.com/in/andrea-valacchi-1519ba225/</t>
  </si>
  <si>
    <t>Fujitsu</t>
  </si>
  <si>
    <t>Dallas</t>
  </si>
  <si>
    <t>Valboni</t>
  </si>
  <si>
    <t>rvalboni@hotmail.com</t>
  </si>
  <si>
    <t>https://www.linkedin.com/in/riccardovalboni</t>
  </si>
  <si>
    <t>EDHEC Business School</t>
  </si>
  <si>
    <t>Nice</t>
  </si>
  <si>
    <t>Utrecht University</t>
  </si>
  <si>
    <t>05/2016</t>
  </si>
  <si>
    <t>03/2025</t>
  </si>
  <si>
    <t>Utrecht</t>
  </si>
  <si>
    <t>Valente</t>
  </si>
  <si>
    <t>Ruggiero</t>
  </si>
  <si>
    <t>ruggiero.valente@gmail.com</t>
  </si>
  <si>
    <t>https://www.linkedin.com/in/ruggiero-valente-caia-fdp-scr-6410a866/</t>
  </si>
  <si>
    <t>Sagitta SGR S.p.A.</t>
  </si>
  <si>
    <t>Valieri</t>
  </si>
  <si>
    <t>giuliana.valieri@libero.it</t>
  </si>
  <si>
    <t>Vecchio</t>
  </si>
  <si>
    <t>vecchio.daniela@yahoo.it</t>
  </si>
  <si>
    <t>daniela.vecchio@albertinisyzbank.it</t>
  </si>
  <si>
    <t>https://www.linkedin.com/in/daniela-vecchio-568bb92</t>
  </si>
  <si>
    <t>China Construction Bank</t>
  </si>
  <si>
    <t>Gruppo Bancario Albertini Syz</t>
  </si>
  <si>
    <t>Vedovi</t>
  </si>
  <si>
    <t>albertovedovi@gmail.com</t>
  </si>
  <si>
    <t>https://www.linkedin.com/in/alberto-vedovi-cfa-caia-48832772/</t>
  </si>
  <si>
    <t>NS Partners</t>
  </si>
  <si>
    <t>Veggi</t>
  </si>
  <si>
    <t>Giulio</t>
  </si>
  <si>
    <t>giulioveggi@gmail.com</t>
  </si>
  <si>
    <t>https://www.linkedin.com/in/giulio-veggi-ab366b181/</t>
  </si>
  <si>
    <t>Ingenium Education</t>
  </si>
  <si>
    <t>European School Heads Association (ESHA)</t>
  </si>
  <si>
    <t>Ventola</t>
  </si>
  <si>
    <t>gianluca.ventola@houseselection.it</t>
  </si>
  <si>
    <t>https://www.linkedin.com/in/gianluca-ventola</t>
  </si>
  <si>
    <t>House Selection – 42 Holding</t>
  </si>
  <si>
    <t>InChiaro Assicurazioni</t>
  </si>
  <si>
    <t>Ventura</t>
  </si>
  <si>
    <t>https://www.linkedin.com/in/antoniorventura/</t>
  </si>
  <si>
    <t>H Company</t>
  </si>
  <si>
    <t>BNP Paribas</t>
  </si>
  <si>
    <t>Venturelli</t>
  </si>
  <si>
    <t>luca.venturelli@jeme.it</t>
  </si>
  <si>
    <t>luca.venturelli@studbocconi.it</t>
  </si>
  <si>
    <t>https://www.linkedin.com/in/luca-venturelli-83a74017a/</t>
  </si>
  <si>
    <t>Luxempart S.A.</t>
  </si>
  <si>
    <t>PINOVA Capital</t>
  </si>
  <si>
    <t>lara_verona@hotmail.com</t>
  </si>
  <si>
    <t>https://www.linkedin.com/in/lara-verona/</t>
  </si>
  <si>
    <t>Lagardère Travel Retail</t>
  </si>
  <si>
    <t>Sonepar</t>
  </si>
  <si>
    <t>Verzella</t>
  </si>
  <si>
    <t>Gloria</t>
  </si>
  <si>
    <t>gloria.verzella@gmail.com</t>
  </si>
  <si>
    <t>https://www.linkedin.com/in/gloriaverzella/</t>
  </si>
  <si>
    <t>Paul Hastings</t>
  </si>
  <si>
    <t>Vigani</t>
  </si>
  <si>
    <t>federico.vigani@gmail.com</t>
  </si>
  <si>
    <t>https://www.linkedin.com/in/federicovigani</t>
  </si>
  <si>
    <t>BCG X</t>
  </si>
  <si>
    <t>Vignola</t>
  </si>
  <si>
    <t>pvignola@deloitte.it</t>
  </si>
  <si>
    <t>https://www.linkedin.com/in/pietro-vignola/</t>
  </si>
  <si>
    <t>The Techshop</t>
  </si>
  <si>
    <t>Virtuani</t>
  </si>
  <si>
    <t>maurizio.virtuani@libero.it</t>
  </si>
  <si>
    <t>https://www.linkedin.com/in/maurizio-virtuani-11116919/</t>
  </si>
  <si>
    <t>Latham &amp; Watkins LLP</t>
  </si>
  <si>
    <t>Visentin</t>
  </si>
  <si>
    <t>Ernesto</t>
  </si>
  <si>
    <t>ernesto.visentin@unibocconi.it</t>
  </si>
  <si>
    <t>https://www.linkedin.com/in/ernesto-visentin-a85492284/</t>
  </si>
  <si>
    <t>Università Bocconi – Studio Legale Tributario Prof. Avv. Angelo Contrino</t>
  </si>
  <si>
    <t>CapitaLink</t>
  </si>
  <si>
    <t>Volpone</t>
  </si>
  <si>
    <t>antonio.volpone@gmail.com</t>
  </si>
  <si>
    <t>https://www.linkedin.com/intonio-volpone-8bb4b</t>
  </si>
  <si>
    <t>Ater Fondazione</t>
  </si>
  <si>
    <t>Ente Mostra Internazionale del Cinema Libero</t>
  </si>
  <si>
    <t>Vultaggio</t>
  </si>
  <si>
    <t>alexvulty@gmail.com</t>
  </si>
  <si>
    <t>https://www.linkedin.com/in/alessandravultaggio/</t>
  </si>
  <si>
    <t>Global Blue</t>
  </si>
  <si>
    <t>Edenred Italia</t>
  </si>
  <si>
    <t>05/2011</t>
  </si>
  <si>
    <t>Wegner</t>
  </si>
  <si>
    <t>Wu</t>
  </si>
  <si>
    <t>Emily</t>
  </si>
  <si>
    <t>wuemily@gmail.com</t>
  </si>
  <si>
    <t>emily.wu@jpmorgan.com</t>
  </si>
  <si>
    <t>https://www.linkedin.com/in/wu-emily1/</t>
  </si>
  <si>
    <t>Zambotti</t>
  </si>
  <si>
    <t>Dario</t>
  </si>
  <si>
    <t>zambottidario@hotmail.com</t>
  </si>
  <si>
    <t>https://www.linkedin.com/in/dario-zambotti-1b87261</t>
  </si>
  <si>
    <t>HACA Partners</t>
  </si>
  <si>
    <t>Zannini</t>
  </si>
  <si>
    <t>zannamarc@libero.it</t>
  </si>
  <si>
    <t>marco.zannini@salvimar.com</t>
  </si>
  <si>
    <t>https://www.linkedin.com/in/marco-zannini-243a6454/</t>
  </si>
  <si>
    <t>Salvi Mar S.r.l.</t>
  </si>
  <si>
    <t>Casarza Ligure</t>
  </si>
  <si>
    <t>Energy Solution S.r.l.</t>
  </si>
  <si>
    <t>Recco</t>
  </si>
  <si>
    <t>Zanotti</t>
  </si>
  <si>
    <t>zanotti.lorenzo@hotmail.it</t>
  </si>
  <si>
    <t>zanotti.lorenzo@pwc.com</t>
  </si>
  <si>
    <t>https://www.linkedin.com/in/lorenzozanotti/</t>
  </si>
  <si>
    <t>LZ Studio Legale</t>
  </si>
  <si>
    <t>Zappalà</t>
  </si>
  <si>
    <t>Rosa</t>
  </si>
  <si>
    <t>mariarosa.zappala@grimaldieassociati.com</t>
  </si>
  <si>
    <t>mariarosa.zappala@spafid.it</t>
  </si>
  <si>
    <t>https://www.linkedin.com/in/maria-rosa-zappalà-651a602/</t>
  </si>
  <si>
    <t>Spafid Trust S.r.l. (Mediobanca Group)</t>
  </si>
  <si>
    <t>Zarantonello</t>
  </si>
  <si>
    <t>Alice</t>
  </si>
  <si>
    <t>alicezarantonello@outlook.com</t>
  </si>
  <si>
    <t>https://www.linkedin.com/in/alice-zarantonello000/</t>
  </si>
  <si>
    <t>Zarcone</t>
  </si>
  <si>
    <t>Zhang</t>
  </si>
  <si>
    <t>Giada</t>
  </si>
  <si>
    <t>giada.zhang@outlook.com</t>
  </si>
  <si>
    <t>https://www.linkedin.com/in/giadazhang/</t>
  </si>
  <si>
    <t>Mulan Group</t>
  </si>
  <si>
    <t>Cremona</t>
  </si>
  <si>
    <t>UNHCR</t>
  </si>
  <si>
    <t>Zhao</t>
  </si>
  <si>
    <t>Huan</t>
  </si>
  <si>
    <t>huanzhao345@gmail.com</t>
  </si>
  <si>
    <t>https://www.linkedin.com/in/huan-zhao-50bb45125/</t>
  </si>
  <si>
    <t>Zhou</t>
  </si>
  <si>
    <t>Yuhao</t>
  </si>
  <si>
    <t>criszhou02@gmail.com</t>
  </si>
  <si>
    <t>https://www.linkedin.com/in/yuhao-zhou2/</t>
  </si>
  <si>
    <t>Riverflex</t>
  </si>
  <si>
    <t>Ford Motor Company</t>
  </si>
  <si>
    <t>Zuccolotto</t>
  </si>
  <si>
    <t>stefaniazuccolotto@hotmail.com</t>
  </si>
  <si>
    <t>https://www.linkedin.com/in/stefania-zuccolotto-21aa6b/</t>
  </si>
  <si>
    <t>Bi.Car S.r.l.</t>
  </si>
  <si>
    <t>Autorità Garante della Concorrenza e del Mercato</t>
  </si>
  <si>
    <t>12/2005</t>
  </si>
  <si>
    <t>Zuppet</t>
  </si>
  <si>
    <t>z_s_uk@yahoo.co.uk</t>
  </si>
  <si>
    <t>https://www.linkedin.com/in/stefano-zuppet-873112</t>
  </si>
  <si>
    <t>TMT Global Advisers</t>
  </si>
  <si>
    <t>VTB Capital</t>
  </si>
  <si>
    <t>https://www.linkedin.com/in/francesco-rossi-867485172/</t>
  </si>
  <si>
    <t>Contact</t>
  </si>
  <si>
    <t>Name</t>
  </si>
  <si>
    <t>Proj</t>
  </si>
  <si>
    <t>JEME4U</t>
  </si>
  <si>
    <t>Contacted</t>
  </si>
  <si>
    <t>Positive Answer</t>
  </si>
  <si>
    <t>Negative Answer</t>
  </si>
  <si>
    <t>Notes</t>
  </si>
  <si>
    <t>https://www.linkedin.com/in/giancarlo-almiento-951831/</t>
  </si>
  <si>
    <t>Gio</t>
  </si>
  <si>
    <t>https://www.linkedin.com/in/francesco-benintende-4721a3</t>
  </si>
  <si>
    <t>https://www.linkedin.com/in/stefano-brentel-4ba6a2</t>
  </si>
  <si>
    <t>do after Bain event</t>
  </si>
  <si>
    <t>https://www.linkedin.com/in/andrea-lazzari-94158519/</t>
  </si>
  <si>
    <t>https://www.linkedin.com/ilberto-matuozzo-2a54a8</t>
  </si>
  <si>
    <t>https://www.linkedin.com/in/roberta-benedetti-del-rio-7a957b14/</t>
  </si>
  <si>
    <t>https://www.linkedin.com/in/michele-biancolin-863161/</t>
  </si>
  <si>
    <t>https://www.linkedin.com/in/giovanna-conzi-39a657/</t>
  </si>
  <si>
    <t>To text in Bulgarian</t>
  </si>
  <si>
    <t>Full Name</t>
  </si>
  <si>
    <t>Middle Name(s)</t>
  </si>
  <si>
    <t>Second Name(s)</t>
  </si>
  <si>
    <t>E-mail Address</t>
  </si>
  <si>
    <t>E-mail Address #2</t>
  </si>
  <si>
    <t>Mobile Phone #1</t>
  </si>
  <si>
    <t>Mobile Phone #2</t>
  </si>
  <si>
    <t>Firm #1</t>
  </si>
  <si>
    <t>Role #1</t>
  </si>
  <si>
    <t>Starting Month #1</t>
  </si>
  <si>
    <t>Ending Month #1</t>
  </si>
  <si>
    <t>Location #1</t>
  </si>
  <si>
    <t>Industry #1</t>
  </si>
  <si>
    <t>Firm #2</t>
  </si>
  <si>
    <t>Role #2</t>
  </si>
  <si>
    <t>Starting Month #2</t>
  </si>
  <si>
    <t>Ending Month #2</t>
  </si>
  <si>
    <t>Location #2</t>
  </si>
  <si>
    <t>Industry #2</t>
  </si>
  <si>
    <t>JEME - Starting Period</t>
  </si>
  <si>
    <t>JEME - Ending Period</t>
  </si>
  <si>
    <t>JEME - Role #1</t>
  </si>
  <si>
    <t>JEME - Role #2</t>
  </si>
  <si>
    <t>JEME - Role #3</t>
  </si>
  <si>
    <t>Agnieszka Kania</t>
  </si>
  <si>
    <t xml:space="preserve"> Kania</t>
  </si>
  <si>
    <t>https://www.linkedin.com/agnieszkadariakania/</t>
  </si>
  <si>
    <t>GSK</t>
  </si>
  <si>
    <t>Service Desk Manager</t>
  </si>
  <si>
    <t>Milan, Italy</t>
  </si>
  <si>
    <t>Business Analyst</t>
  </si>
  <si>
    <t>Alberto Accogli</t>
  </si>
  <si>
    <t xml:space="preserve">Alberto </t>
  </si>
  <si>
    <t>+39 328 628229</t>
  </si>
  <si>
    <t>https://www.linkedin.com/alberto-accogli/</t>
  </si>
  <si>
    <t>MBA Summer Intern</t>
  </si>
  <si>
    <t>Junior Manager</t>
  </si>
  <si>
    <t>Alberto Antoniolli</t>
  </si>
  <si>
    <t>+39 342 6423569</t>
  </si>
  <si>
    <t>https://www.linkedin.com/albertoantoniolli/</t>
  </si>
  <si>
    <t>M&amp;A Analyst</t>
  </si>
  <si>
    <t>Italmobiliare SPA</t>
  </si>
  <si>
    <t>Intern Financial Analyst</t>
  </si>
  <si>
    <t>Alberto Cattaruzza</t>
  </si>
  <si>
    <t>https://www.linkedin.com/alberto-cattaruzza-84a1a196/</t>
  </si>
  <si>
    <t>Investment Banking Analyst</t>
  </si>
  <si>
    <t>Italian Angels for Growth</t>
  </si>
  <si>
    <t>Alberto Franco</t>
  </si>
  <si>
    <t xml:space="preserve">Franco </t>
  </si>
  <si>
    <t>+39 348 862155</t>
  </si>
  <si>
    <t>https://www.linkedin.com/albertofrancoit</t>
  </si>
  <si>
    <t>CBA Studio Legale e Tributario</t>
  </si>
  <si>
    <t>Professore a contratto</t>
  </si>
  <si>
    <t>Alberto Holler</t>
  </si>
  <si>
    <t>+39 345 7151799</t>
  </si>
  <si>
    <t>https://www.linkedin.com/alberto-holler-72a95199/</t>
  </si>
  <si>
    <t>Summer Intern</t>
  </si>
  <si>
    <t>Head of Internal Audit</t>
  </si>
  <si>
    <t>Project Manager</t>
  </si>
  <si>
    <t>Alberto Matuozzo</t>
  </si>
  <si>
    <t>+44 7919447118</t>
  </si>
  <si>
    <t>https://www.linkedin.com/alberto-matuozzo-2a54a8</t>
  </si>
  <si>
    <t>Partner</t>
  </si>
  <si>
    <t>London, United Kingdom</t>
  </si>
  <si>
    <t>Merian Capital LLP</t>
  </si>
  <si>
    <t>Alberto Vedovi</t>
  </si>
  <si>
    <t>vedovia@gmail.com</t>
  </si>
  <si>
    <t>https://www.linkedin.com/alberto-vedovi-48832772</t>
  </si>
  <si>
    <t>NS PARTNERS</t>
  </si>
  <si>
    <t>Luxemburg</t>
  </si>
  <si>
    <t>Consultant</t>
  </si>
  <si>
    <t>Tresaurer</t>
  </si>
  <si>
    <t>Aldo Pozzoli</t>
  </si>
  <si>
    <t xml:space="preserve">Aldo </t>
  </si>
  <si>
    <t>https://www.linkedin.com/aldopozzoli/</t>
  </si>
  <si>
    <t>Principal Director</t>
  </si>
  <si>
    <t>Alessandra Arrigoni</t>
  </si>
  <si>
    <t xml:space="preserve">Alessandra </t>
  </si>
  <si>
    <t>https://www.linkedin.com/alessandra-arrigoni-8aa45b7/</t>
  </si>
  <si>
    <t>Client Business Partner</t>
  </si>
  <si>
    <t>Alessandra Galli</t>
  </si>
  <si>
    <t>+39 347 73663</t>
  </si>
  <si>
    <t>Alessandra Mangeri</t>
  </si>
  <si>
    <t>https://www.linkedin.com/alessandra-mangeri-656893b/</t>
  </si>
  <si>
    <t>AMG</t>
  </si>
  <si>
    <t>Tax Advisor</t>
  </si>
  <si>
    <t>Advisor</t>
  </si>
  <si>
    <t>Alessandra Peres</t>
  </si>
  <si>
    <t>+39 349 7865587</t>
  </si>
  <si>
    <t>https://www.linkedin.com/alessandra-peres-21b2a2b/</t>
  </si>
  <si>
    <t>Distribution Manager</t>
  </si>
  <si>
    <t>FC Rimaco</t>
  </si>
  <si>
    <t>Area Manager</t>
  </si>
  <si>
    <t>Alessandra Vultaggio</t>
  </si>
  <si>
    <t>+39 349 4753351</t>
  </si>
  <si>
    <t>https://www.linkedin.com/alessandravultaggio/</t>
  </si>
  <si>
    <t>Customer Value Creation Manager</t>
  </si>
  <si>
    <t>Alessandro Alloisio</t>
  </si>
  <si>
    <t>+39 335 6843375</t>
  </si>
  <si>
    <t>https://www.linkedin.com/alessandro-alloisio-9a13a/</t>
  </si>
  <si>
    <t>Sanlorenzo Yacht</t>
  </si>
  <si>
    <t>Chief Information Officer</t>
  </si>
  <si>
    <t>Freelancer</t>
  </si>
  <si>
    <t>Alessandro Bellotti</t>
  </si>
  <si>
    <t xml:space="preserve">Alessandro </t>
  </si>
  <si>
    <t>Alessandro Brambilla</t>
  </si>
  <si>
    <t>Alessandro Brutto</t>
  </si>
  <si>
    <t>+39 338 7388</t>
  </si>
  <si>
    <t>https://www.linkedin.com/alessandro-brutto-bb15117</t>
  </si>
  <si>
    <t>JP Morgan</t>
  </si>
  <si>
    <t>Alessandro Dadone</t>
  </si>
  <si>
    <t>ale.dadone@gmail.com</t>
  </si>
  <si>
    <t>https://www.linkedin.com/alessandro-dadone-23196318</t>
  </si>
  <si>
    <t>Head of Product</t>
  </si>
  <si>
    <t>Customer Marketing Intern</t>
  </si>
  <si>
    <t>Athens</t>
  </si>
  <si>
    <t>Alessandro Filoramo</t>
  </si>
  <si>
    <t>https://www.linkedin.com/alessandrofiloramo</t>
  </si>
  <si>
    <t>IQVIA</t>
  </si>
  <si>
    <t>Alessandro Gagliardi</t>
  </si>
  <si>
    <t>https://www.linkedin.com/alessandro-gagliardi/</t>
  </si>
  <si>
    <t xml:space="preserve">Vice-President </t>
  </si>
  <si>
    <t>Alessandro Medico</t>
  </si>
  <si>
    <t>https://www.linkedin.com/alessandro-medico/</t>
  </si>
  <si>
    <t>Intern</t>
  </si>
  <si>
    <t>M&amp;A Intern</t>
  </si>
  <si>
    <t>Alessandro Radici</t>
  </si>
  <si>
    <t>973 6522374</t>
  </si>
  <si>
    <t>9 2664 957555</t>
  </si>
  <si>
    <t>https://www.linkedin.com/alessandro-radici-9988317/</t>
  </si>
  <si>
    <t>SER BEEF</t>
  </si>
  <si>
    <t>Alessandro Trisciuoglio</t>
  </si>
  <si>
    <t>https://www.linkedin.com/alessandro-trisciuoglio/</t>
  </si>
  <si>
    <t>Booking.com</t>
  </si>
  <si>
    <t>Self Employed</t>
  </si>
  <si>
    <t>Diano Marina</t>
  </si>
  <si>
    <t>Beko</t>
  </si>
  <si>
    <t xml:space="preserve">Intern </t>
  </si>
  <si>
    <t>Alessia Acquistapace</t>
  </si>
  <si>
    <t>https://www.linkedin.com/alessia-acquistapace-22972165/</t>
  </si>
  <si>
    <t>Financial Analyst</t>
  </si>
  <si>
    <t>Rothshild &amp; Co.</t>
  </si>
  <si>
    <t>Alessia Alberti</t>
  </si>
  <si>
    <t>https://www.linkedin.com/alessia-alberti-b75a612b/</t>
  </si>
  <si>
    <t>Praticante Notaio</t>
  </si>
  <si>
    <t>Bonelli Erede</t>
  </si>
  <si>
    <t>Praticante Avvocato</t>
  </si>
  <si>
    <t>Alessia Della Vedova</t>
  </si>
  <si>
    <t>+39 338 272557</t>
  </si>
  <si>
    <t>https://www.linkedin.com/alessia-dellavedova/</t>
  </si>
  <si>
    <t>Dottore Commercialista - Revisore Legale</t>
  </si>
  <si>
    <t>Fieldfisher - Studio Associato Servizi Professionali Integrati</t>
  </si>
  <si>
    <t>Alessia Fontanari</t>
  </si>
  <si>
    <t>alessia.fon@gmail.com</t>
  </si>
  <si>
    <t>https://www.linkedin.com/alessiafontanari</t>
  </si>
  <si>
    <t>Strategy Manager</t>
  </si>
  <si>
    <t>Alessio Bressan</t>
  </si>
  <si>
    <t>https://www.linkedin.com/alessio-bressan-8b26b/</t>
  </si>
  <si>
    <t>CEO</t>
  </si>
  <si>
    <t>1/1/1099</t>
  </si>
  <si>
    <t>Alessio Fortunato Ficara</t>
  </si>
  <si>
    <t>https://www.linkedin.com/alessiofortunatoficara/</t>
  </si>
  <si>
    <t>La Maison - la tua casa su misura</t>
  </si>
  <si>
    <t>Titolare</t>
  </si>
  <si>
    <t>Alessio Loreti</t>
  </si>
  <si>
    <t>+39 347 351471</t>
  </si>
  <si>
    <t>Alex Cecchini</t>
  </si>
  <si>
    <t>https://www.linkedin.com/alex-cecchini-579278/</t>
  </si>
  <si>
    <t>LGT – Private Banking und Asset Management</t>
  </si>
  <si>
    <t>Managing Director</t>
  </si>
  <si>
    <t>Alex Fattorini</t>
  </si>
  <si>
    <t xml:space="preserve">Alex </t>
  </si>
  <si>
    <t>+39 338 7775421</t>
  </si>
  <si>
    <t>https://www.linkedin.com/alex-fattorini-263999/</t>
  </si>
  <si>
    <t>Primonial Reim Italy</t>
  </si>
  <si>
    <t>Member of Boad of Directors</t>
  </si>
  <si>
    <t>DGPA &amp; Co.</t>
  </si>
  <si>
    <t>Alice Zarantonello</t>
  </si>
  <si>
    <t>https://www.linkedin.com/alice-zarantonello/</t>
  </si>
  <si>
    <t>Junior Associate</t>
  </si>
  <si>
    <t>Product Marketing Manager</t>
  </si>
  <si>
    <t>Alvise Biffi</t>
  </si>
  <si>
    <t>+39 338 9925329</t>
  </si>
  <si>
    <t>https://www.linkedin.com/alvise-biffi-115aa5/</t>
  </si>
  <si>
    <t>Secure Network Srl</t>
  </si>
  <si>
    <t>Vicepresidente</t>
  </si>
  <si>
    <t>Amin Harbi</t>
  </si>
  <si>
    <t>https://www.linkedin.com/amin-harbi/</t>
  </si>
  <si>
    <t>Boston Consulting Group</t>
  </si>
  <si>
    <t>André Gardella</t>
  </si>
  <si>
    <t>https://www.linkedin.com/andre-gardella-67734/</t>
  </si>
  <si>
    <t>Head of Operations and Transformation</t>
  </si>
  <si>
    <t>Andrea Augusto Baroni</t>
  </si>
  <si>
    <t xml:space="preserve">Augusto </t>
  </si>
  <si>
    <t>https://www.linkedin.com/aabaroni/</t>
  </si>
  <si>
    <t>VP Data Science</t>
  </si>
  <si>
    <t>Lead Data Scientist</t>
  </si>
  <si>
    <t>Andrea Bergamini</t>
  </si>
  <si>
    <t xml:space="preserve">Andrea </t>
  </si>
  <si>
    <t>+39 338 5455938</t>
  </si>
  <si>
    <t>https://www.linkedin.com/andrea-bergamini-4695b6/</t>
  </si>
  <si>
    <t>European Category Director</t>
  </si>
  <si>
    <t>Whirpool</t>
  </si>
  <si>
    <t>Strategic Planner Manager</t>
  </si>
  <si>
    <t>Andrea Bertè</t>
  </si>
  <si>
    <t>https://www.linkedin.com/andrea-berte-38446947/</t>
  </si>
  <si>
    <t>Head of Product and Market Consumables</t>
  </si>
  <si>
    <t>Zeb Consulting</t>
  </si>
  <si>
    <t>Andrea Carvelli</t>
  </si>
  <si>
    <t>+39 345 8546918</t>
  </si>
  <si>
    <t>https://www.linkedin.com/andrea-carvelli/</t>
  </si>
  <si>
    <t>Trainee</t>
  </si>
  <si>
    <t>Baker McKenzie Italia</t>
  </si>
  <si>
    <t>Andrea Di Benedetto</t>
  </si>
  <si>
    <t>https://www.linkedin.com/andrea-di-benedetto-bbb463111/</t>
  </si>
  <si>
    <t xml:space="preserve">Persado </t>
  </si>
  <si>
    <t>Andrea Di Pietrantonio</t>
  </si>
  <si>
    <t>https://www.linkedin.com/andreadipietrantonio</t>
  </si>
  <si>
    <t>Engagement Manager</t>
  </si>
  <si>
    <t>Inventure</t>
  </si>
  <si>
    <t>Portfolio Operations Director</t>
  </si>
  <si>
    <t>Andrea Gerosa</t>
  </si>
  <si>
    <t>https://www.linkedin.com/andreagerosa</t>
  </si>
  <si>
    <t>ThinkYoung</t>
  </si>
  <si>
    <t>Founder</t>
  </si>
  <si>
    <t>International Trademark Association (INTA)</t>
  </si>
  <si>
    <t>Member of the Advisory Board</t>
  </si>
  <si>
    <t>Andrea Gherzi</t>
  </si>
  <si>
    <t xml:space="preserve">Gherzi </t>
  </si>
  <si>
    <t>+39 328 927521</t>
  </si>
  <si>
    <t>https://www.linkedin.com/andrea-gherzi-21a4416/</t>
  </si>
  <si>
    <t>Andrea Ghizzoni</t>
  </si>
  <si>
    <t>+39 342 8982383</t>
  </si>
  <si>
    <t>https://www.linkedin.com/andreaghizzoni/</t>
  </si>
  <si>
    <t>Facile.it</t>
  </si>
  <si>
    <t>Head of Strategy</t>
  </si>
  <si>
    <t>Andrea La Torre</t>
  </si>
  <si>
    <t>+39 325 58453</t>
  </si>
  <si>
    <t>https://www.linkedin.com/andrea-la-torre-34b67b7/</t>
  </si>
  <si>
    <t>Starting Finance</t>
  </si>
  <si>
    <t>Author</t>
  </si>
  <si>
    <t>Andrea Lazzari</t>
  </si>
  <si>
    <t>https://www.linkedin.com/andrea-lazzari-94158519</t>
  </si>
  <si>
    <t>Andrea Lippa</t>
  </si>
  <si>
    <t>https://www.linkedin.com/andrea-lippa-26718311b/</t>
  </si>
  <si>
    <t>Private Equity Analyst Intern</t>
  </si>
  <si>
    <t>Andrea Maggi</t>
  </si>
  <si>
    <t xml:space="preserve">Maggi </t>
  </si>
  <si>
    <t>an.maggi93@gmail.com</t>
  </si>
  <si>
    <t>+39 366 449225</t>
  </si>
  <si>
    <t>Digital Marketing Consultant</t>
  </si>
  <si>
    <t>Emirates Investment Bank pjsc</t>
  </si>
  <si>
    <t>Andrea Maralla</t>
  </si>
  <si>
    <t>Andrea Matranga</t>
  </si>
  <si>
    <t>+39 334 38322</t>
  </si>
  <si>
    <t>https://www.linkedin.com/amatranga</t>
  </si>
  <si>
    <t>Chapman University</t>
  </si>
  <si>
    <t>Assistant Professor</t>
  </si>
  <si>
    <t>Orange County</t>
  </si>
  <si>
    <t>New Economic School</t>
  </si>
  <si>
    <t>Moscow</t>
  </si>
  <si>
    <t>Andrea Paladini</t>
  </si>
  <si>
    <t>https://www.linkedin.com/andrea-paladini-6b884a77</t>
  </si>
  <si>
    <t>Head of Vendor Management</t>
  </si>
  <si>
    <t>Andrea Ronchiato</t>
  </si>
  <si>
    <t>https://www.linkedin.com/andrea-ronchiato-8216512/</t>
  </si>
  <si>
    <t>SC LOWY</t>
  </si>
  <si>
    <t>Sourcing &amp; Origination</t>
  </si>
  <si>
    <t>StormHarbour Securities LLP</t>
  </si>
  <si>
    <t>Andrea Salsi</t>
  </si>
  <si>
    <t>+39 392 7531283</t>
  </si>
  <si>
    <t>https://www.linkedin.com/andrea-salsi-6722339</t>
  </si>
  <si>
    <t>Hogal Lovells</t>
  </si>
  <si>
    <t>Senior Associate</t>
  </si>
  <si>
    <t>Montecristo RE</t>
  </si>
  <si>
    <t>Co-Founder</t>
  </si>
  <si>
    <t>Andrea Salvati</t>
  </si>
  <si>
    <t>https://www.linkedin.com/andrea-salvati</t>
  </si>
  <si>
    <t>Cleo</t>
  </si>
  <si>
    <t>Lead Analytics Engineer</t>
  </si>
  <si>
    <t>DAZN</t>
  </si>
  <si>
    <t xml:space="preserve">Head of IT </t>
  </si>
  <si>
    <t>Andrea Schettini</t>
  </si>
  <si>
    <t>+39 338 6336965</t>
  </si>
  <si>
    <t>https://www.linkedin.com/andreaschettini</t>
  </si>
  <si>
    <t>Bluegem Capital Partners</t>
  </si>
  <si>
    <t>Investment Associate</t>
  </si>
  <si>
    <t>Andrea Tel</t>
  </si>
  <si>
    <t>+44 7447 54 2 7</t>
  </si>
  <si>
    <t>https://www.linkedin.com/andreatel</t>
  </si>
  <si>
    <t>Competition and Regulatory Litigation Counsel</t>
  </si>
  <si>
    <t>Senior Legal Counsel</t>
  </si>
  <si>
    <t>Aneta Kacprzak</t>
  </si>
  <si>
    <t>Angela Filippa</t>
  </si>
  <si>
    <t>afilippa1@nyc.rr.com</t>
  </si>
  <si>
    <t>https://www.linkedin.com/angela-filippa-942369161/</t>
  </si>
  <si>
    <t>Credit Risk Manager</t>
  </si>
  <si>
    <t>Angelo Peluffo</t>
  </si>
  <si>
    <t>https://www.linkedin.com/angelopeluffo/</t>
  </si>
  <si>
    <t>FCA</t>
  </si>
  <si>
    <t>Sales Area Manager</t>
  </si>
  <si>
    <t>BASF COATINGS REFINISH S.p.A</t>
  </si>
  <si>
    <t>Business Development Manager</t>
  </si>
  <si>
    <t>Angelo Solarino</t>
  </si>
  <si>
    <t xml:space="preserve">Solarino </t>
  </si>
  <si>
    <t>https://www.linkedin.com/angelo-solarino-94696314/</t>
  </si>
  <si>
    <t>Associate Professor in Strategy</t>
  </si>
  <si>
    <t>Leeds University Business School</t>
  </si>
  <si>
    <t>Lecturer</t>
  </si>
  <si>
    <t>Leeds</t>
  </si>
  <si>
    <t>Anjeza Tufina</t>
  </si>
  <si>
    <t>+39 392 9599186</t>
  </si>
  <si>
    <t>Anna Ambrosi</t>
  </si>
  <si>
    <t xml:space="preserve">Anna </t>
  </si>
  <si>
    <t>+39 349 75946</t>
  </si>
  <si>
    <t>https://www.linkedin.com/annaambrosi/</t>
  </si>
  <si>
    <t>Bianco Photography</t>
  </si>
  <si>
    <t>Anna Barzanti</t>
  </si>
  <si>
    <t>https://www.linkedin.com/anna-barzanti</t>
  </si>
  <si>
    <t>Sales Associate &amp; Business Development</t>
  </si>
  <si>
    <t>Boston</t>
  </si>
  <si>
    <t>Polti North America</t>
  </si>
  <si>
    <t>Sales Associate</t>
  </si>
  <si>
    <t>Anna Claudia Schirò</t>
  </si>
  <si>
    <t xml:space="preserve">Claudia </t>
  </si>
  <si>
    <t>Anna Latini</t>
  </si>
  <si>
    <t>https://www.linkedin.com/anna-latini-bb8b8b128</t>
  </si>
  <si>
    <t>CVC Capital Partners</t>
  </si>
  <si>
    <t>Investment executive</t>
  </si>
  <si>
    <t xml:space="preserve">Goldman Sachs </t>
  </si>
  <si>
    <t>Investment banking analyst</t>
  </si>
  <si>
    <t>Anna Vittoria Robbi</t>
  </si>
  <si>
    <t>+39 348 366266</t>
  </si>
  <si>
    <t>https://www.linkedin.com/annarobbi</t>
  </si>
  <si>
    <t>Annunziato Garofalo</t>
  </si>
  <si>
    <t xml:space="preserve">Annunziato </t>
  </si>
  <si>
    <t>Antonella Marzorati</t>
  </si>
  <si>
    <t>Antonino Musumeci</t>
  </si>
  <si>
    <t xml:space="preserve">Antonino </t>
  </si>
  <si>
    <t>+39 349 3143139</t>
  </si>
  <si>
    <t>https://www.linkedin.com/antoninom/</t>
  </si>
  <si>
    <t>Sales Excellence</t>
  </si>
  <si>
    <t>Research Assistant</t>
  </si>
  <si>
    <t>Antonio Attinà</t>
  </si>
  <si>
    <t>https://www.linkedin.com/antonio-attin%C3%A-pmp-389721/</t>
  </si>
  <si>
    <t>Head of Consulting</t>
  </si>
  <si>
    <t>Antonio Centola</t>
  </si>
  <si>
    <t>https://www.linkedin.com/antonio-centola-a8651aa/</t>
  </si>
  <si>
    <t>Consulting Lead Director</t>
  </si>
  <si>
    <t>General Manager Group Pricing and Value Proposition</t>
  </si>
  <si>
    <t>Antonio Lai</t>
  </si>
  <si>
    <t>+39 329 115115</t>
  </si>
  <si>
    <t>https://www.linkedin.com/antoniolai/</t>
  </si>
  <si>
    <t>Policy Officer</t>
  </si>
  <si>
    <t>Legal Counsel</t>
  </si>
  <si>
    <t>Antonio Oteri</t>
  </si>
  <si>
    <t>+55 119 822 237 12</t>
  </si>
  <si>
    <t>https://www.linkedin.com/aoteri/</t>
  </si>
  <si>
    <t>Citel Group</t>
  </si>
  <si>
    <t>Especialista Senior de Qualidade</t>
  </si>
  <si>
    <t>Antonio Pio Maude</t>
  </si>
  <si>
    <t>Antonio Pisu</t>
  </si>
  <si>
    <t>+39 328 931338</t>
  </si>
  <si>
    <t>https://www.linkedin.com/antonio-pisu-3ab463/</t>
  </si>
  <si>
    <t>Mediacomm Srl</t>
  </si>
  <si>
    <t>PWC</t>
  </si>
  <si>
    <t>Assistant</t>
  </si>
  <si>
    <t>Antonio Specchia</t>
  </si>
  <si>
    <t>+39 349 48135</t>
  </si>
  <si>
    <t>+39 339 752484</t>
  </si>
  <si>
    <t>https://www.linkedin.com/antonio-specchia-a34622</t>
  </si>
  <si>
    <t>Webuild</t>
  </si>
  <si>
    <t>HR Country Manager</t>
  </si>
  <si>
    <t>Bucarest</t>
  </si>
  <si>
    <t>HR Business Partner</t>
  </si>
  <si>
    <t>Antonio Ventura</t>
  </si>
  <si>
    <t>Antonio Volpone</t>
  </si>
  <si>
    <t>+39 329 5429528</t>
  </si>
  <si>
    <t>https://www.linkedin.com/antonio-volpone-8bb4b</t>
  </si>
  <si>
    <t>ATER FONDAZIONE</t>
  </si>
  <si>
    <t>Administrative Director and Coordinator of the Regional Observatory for Performing Arts</t>
  </si>
  <si>
    <t>Business Administration Manager</t>
  </si>
  <si>
    <t>Arianna Libratti</t>
  </si>
  <si>
    <t>https://www.linkedin.com/arianna-libratti-5773396/</t>
  </si>
  <si>
    <t>Head of Commercial Planning - Issuing</t>
  </si>
  <si>
    <t>SIA spa</t>
  </si>
  <si>
    <t xml:space="preserve">Head of Bid Management </t>
  </si>
  <si>
    <t>Armando Cianci</t>
  </si>
  <si>
    <t>https://www.linkedin.com/armandocianci</t>
  </si>
  <si>
    <t>Product Manager</t>
  </si>
  <si>
    <t>Armando Del Vecchio</t>
  </si>
  <si>
    <t>+39 346 35168</t>
  </si>
  <si>
    <t>Attilio De Luca</t>
  </si>
  <si>
    <t>+39 347 6193283</t>
  </si>
  <si>
    <t>https://www.linkedin.com/attilio-de-luca-76a1757</t>
  </si>
  <si>
    <t>Controller per la rendicontazione di progetti Pon</t>
  </si>
  <si>
    <t>Aurelio Tempesta</t>
  </si>
  <si>
    <t>https://www.linkedin.com/aureliotempesta/details/experience/</t>
  </si>
  <si>
    <t>Innovation Associate</t>
  </si>
  <si>
    <t>Aurora Trentini</t>
  </si>
  <si>
    <t>https://www.linkedin.com/aurora-trentini-448727157/</t>
  </si>
  <si>
    <t>Private Equity Analyst</t>
  </si>
  <si>
    <t>Investment Banking Intern</t>
  </si>
  <si>
    <t>Azzurra Giorgio</t>
  </si>
  <si>
    <t>+39 349 467789</t>
  </si>
  <si>
    <t>https://www.linkedin.com/azzurragiorgio</t>
  </si>
  <si>
    <t>Co-founder</t>
  </si>
  <si>
    <t>Torino</t>
  </si>
  <si>
    <t>Senior Manager</t>
  </si>
  <si>
    <t>Barbara Cominelli</t>
  </si>
  <si>
    <t>CEO Italy</t>
  </si>
  <si>
    <t>COO and Deputy CEO</t>
  </si>
  <si>
    <t>Barbara Garavaglia</t>
  </si>
  <si>
    <t>Barbara Mento</t>
  </si>
  <si>
    <t>+39 328 6243954</t>
  </si>
  <si>
    <t xml:space="preserve">CEO </t>
  </si>
  <si>
    <t>Beatrice Costa</t>
  </si>
  <si>
    <t xml:space="preserve">Beatrice </t>
  </si>
  <si>
    <t>+39 339 1458728</t>
  </si>
  <si>
    <t>B2B Food Group</t>
  </si>
  <si>
    <t>CEO Analyst</t>
  </si>
  <si>
    <t>Beatrice Graziani</t>
  </si>
  <si>
    <t xml:space="preserve">Customer Success Consultant </t>
  </si>
  <si>
    <t>Benedetta Ballantini</t>
  </si>
  <si>
    <t>Berkin Akar</t>
  </si>
  <si>
    <t>Columbia Business School</t>
  </si>
  <si>
    <t>Teaching Assistant</t>
  </si>
  <si>
    <t>CITI</t>
  </si>
  <si>
    <t>TTS Cash Management</t>
  </si>
  <si>
    <t>Instanbul</t>
  </si>
  <si>
    <t>Biagio Stasi</t>
  </si>
  <si>
    <t xml:space="preserve">Biagio </t>
  </si>
  <si>
    <t>+39 348 58519</t>
  </si>
  <si>
    <t>+39 335 1311833</t>
  </si>
  <si>
    <t>Direttore Commerciale Digital</t>
  </si>
  <si>
    <t>Hearst Magazines</t>
  </si>
  <si>
    <t>Chief Digital Officer</t>
  </si>
  <si>
    <t>Brian Commaroto Roverini</t>
  </si>
  <si>
    <t xml:space="preserve">Brian </t>
  </si>
  <si>
    <t>+39 329 11825</t>
  </si>
  <si>
    <t>Foreign Service Officer</t>
  </si>
  <si>
    <t>Senior Financial Analyst and Revenue Management Analyst</t>
  </si>
  <si>
    <t>Federica Fede Brugnera</t>
  </si>
  <si>
    <t>+39 349 3326</t>
  </si>
  <si>
    <t>Pisces Inc.</t>
  </si>
  <si>
    <t>Director of Portfolio Finance</t>
  </si>
  <si>
    <t>Thin Film Electronics</t>
  </si>
  <si>
    <t>Vice-President</t>
  </si>
  <si>
    <t>Bruno Cartocci</t>
  </si>
  <si>
    <t xml:space="preserve">Bruno </t>
  </si>
  <si>
    <t>Equities Sales Manager</t>
  </si>
  <si>
    <t>Sales Trader</t>
  </si>
  <si>
    <t>1/1/1097</t>
  </si>
  <si>
    <t>Maria Giulia Bufano</t>
  </si>
  <si>
    <t>https://www.linkedin.com/in/maria-giulia-bufano-24a339119</t>
  </si>
  <si>
    <t>Lumpur</t>
  </si>
  <si>
    <t>Giorgio Busnardo</t>
  </si>
  <si>
    <t>https://www.linkedin.com/in/giorgio-busnardo-32552b1/</t>
  </si>
  <si>
    <t>Funghi Valbrenta</t>
  </si>
  <si>
    <t>Responsabile</t>
  </si>
  <si>
    <t>Banca Euromobiliare</t>
  </si>
  <si>
    <t>Camilla Chirivì</t>
  </si>
  <si>
    <t>+39 347 9145596</t>
  </si>
  <si>
    <t>Marketing Wealth Management e Bancassurance</t>
  </si>
  <si>
    <t>Senior Product Manager Investimenti Canali Digital</t>
  </si>
  <si>
    <t>Camilla Cionini Visani</t>
  </si>
  <si>
    <t>Direttrice Generale</t>
  </si>
  <si>
    <t>Vice Presidente e Direttore Generale</t>
  </si>
  <si>
    <t>Camilla Georgeon</t>
  </si>
  <si>
    <t>Investment Management Oversight Officer FundPartner Solutions</t>
  </si>
  <si>
    <t>Senior Consultant</t>
  </si>
  <si>
    <t>Camilla Rossi</t>
  </si>
  <si>
    <t>Finance Business Partner Consultant</t>
  </si>
  <si>
    <t>Finance Controller</t>
  </si>
  <si>
    <t>Camilla Silipigni</t>
  </si>
  <si>
    <t>Programmazione Commerciale AFH</t>
  </si>
  <si>
    <t>Carla Schiavone</t>
  </si>
  <si>
    <t>+39 339 154854</t>
  </si>
  <si>
    <t>WeOne Srl</t>
  </si>
  <si>
    <t>Senior Partner and Board Member</t>
  </si>
  <si>
    <t xml:space="preserve">
Senior Policy Advisor</t>
  </si>
  <si>
    <t>Carlo Fara</t>
  </si>
  <si>
    <t>+39 349 1976996</t>
  </si>
  <si>
    <t>Vatican City State</t>
  </si>
  <si>
    <t xml:space="preserve">
Financial Intelligence Unit-Financial Information Authority (AIF)</t>
  </si>
  <si>
    <t>Assistant Manager</t>
  </si>
  <si>
    <t>Carlo Gelfo</t>
  </si>
  <si>
    <t>+39 328 418338</t>
  </si>
  <si>
    <t>Co-Founder - Board Director</t>
  </si>
  <si>
    <t>Fenera &amp; Partners SGR</t>
  </si>
  <si>
    <t>Carlo Capra</t>
  </si>
  <si>
    <t>+39 348 223216</t>
  </si>
  <si>
    <t>GELLIFY</t>
  </si>
  <si>
    <t>Senior Innovation Manager - Smart Human</t>
  </si>
  <si>
    <t xml:space="preserve">Innext </t>
  </si>
  <si>
    <t>Change Innovation Manager</t>
  </si>
  <si>
    <t>Carlo Maria Rastelli</t>
  </si>
  <si>
    <t xml:space="preserve">Maria </t>
  </si>
  <si>
    <t xml:space="preserve">PINKO </t>
  </si>
  <si>
    <t>Wholesale Intern</t>
  </si>
  <si>
    <t>Carlotta Bonsignori</t>
  </si>
  <si>
    <t xml:space="preserve">Frontier Economics </t>
  </si>
  <si>
    <t>Research Collaborator</t>
  </si>
  <si>
    <t>Carolina de Fernex</t>
  </si>
  <si>
    <t>de Fernex</t>
  </si>
  <si>
    <t>Investment Banking Associate</t>
  </si>
  <si>
    <t>Prelios</t>
  </si>
  <si>
    <t>Debt Restructuring Analyst</t>
  </si>
  <si>
    <t>Carolina Gianardi</t>
  </si>
  <si>
    <t xml:space="preserve">Gianardi </t>
  </si>
  <si>
    <t>Università LUMSA</t>
  </si>
  <si>
    <t>Contract Professor - Venture Capital &amp; Evaluation</t>
  </si>
  <si>
    <t>Intellera Consulting</t>
  </si>
  <si>
    <t>Independent Board Member</t>
  </si>
  <si>
    <t>Carolina Montaruli</t>
  </si>
  <si>
    <t>+39 347 5818662</t>
  </si>
  <si>
    <t xml:space="preserve">
Investment Banking Summer Analyst</t>
  </si>
  <si>
    <t>Caterina Castellani</t>
  </si>
  <si>
    <t>+39 347 6518864</t>
  </si>
  <si>
    <t>Applied - innovation makers</t>
  </si>
  <si>
    <t xml:space="preserve">
Head of Business Unit Digital Education Solutions</t>
  </si>
  <si>
    <t xml:space="preserve">
Internal Audit &amp; Consolidation Manager</t>
  </si>
  <si>
    <t>Caterina Sganga</t>
  </si>
  <si>
    <t>+39 347 292628</t>
  </si>
  <si>
    <t>BANCA GENERALI PRIVATE BANKING</t>
  </si>
  <si>
    <t>Private Banker</t>
  </si>
  <si>
    <t>Azimut Consulenza sim</t>
  </si>
  <si>
    <t>Financial Partner</t>
  </si>
  <si>
    <t>Cecilia Concetti</t>
  </si>
  <si>
    <t>Cecilia</t>
  </si>
  <si>
    <t>Concetti</t>
  </si>
  <si>
    <t>https://www.linkedin.com/in/ceciliaconcetti</t>
  </si>
  <si>
    <t>Assciate</t>
  </si>
  <si>
    <t>Mentee</t>
  </si>
  <si>
    <t>Riccardo Mazzariol Cella</t>
  </si>
  <si>
    <t xml:space="preserve">Riccardo </t>
  </si>
  <si>
    <t>Mazzariol Cella</t>
  </si>
  <si>
    <t>+39 348 132824</t>
  </si>
  <si>
    <t>Tikehau Capital</t>
  </si>
  <si>
    <t>Investment Intern</t>
  </si>
  <si>
    <t>Private Equity Intern</t>
  </si>
  <si>
    <t>Cesare Ancherani</t>
  </si>
  <si>
    <t xml:space="preserve">Cesare </t>
  </si>
  <si>
    <t>Scent Avenue</t>
  </si>
  <si>
    <t xml:space="preserve">Associate </t>
  </si>
  <si>
    <t>Chiara Calvosa</t>
  </si>
  <si>
    <t>Risk Analyst</t>
  </si>
  <si>
    <t>Risk Officer</t>
  </si>
  <si>
    <t>Tunisia</t>
  </si>
  <si>
    <t>Chiara Greco</t>
  </si>
  <si>
    <t>Studio Aziendale Savi</t>
  </si>
  <si>
    <t>Stagista</t>
  </si>
  <si>
    <t>Piacenza</t>
  </si>
  <si>
    <t>Chiara Lucano</t>
  </si>
  <si>
    <t>Chiara Marzorati</t>
  </si>
  <si>
    <t>+39 335 658512</t>
  </si>
  <si>
    <t>https://www.linkedin.com/in/chiara-marzorati-a7771/</t>
  </si>
  <si>
    <t>Gruppo BPM Banca Popolare di Milano</t>
  </si>
  <si>
    <t>Relationship Manager - Affluent Market and Core-Affluent Market</t>
  </si>
  <si>
    <t>Account - Corporate &amp; Finance Area</t>
  </si>
  <si>
    <t>Chiara Salvadori</t>
  </si>
  <si>
    <t>Responsabile di sala</t>
  </si>
  <si>
    <t>Les Folies Bergere cafè</t>
  </si>
  <si>
    <t>Amministratore Unico</t>
  </si>
  <si>
    <t>Christian Bernard Munter</t>
  </si>
  <si>
    <t>Bernard</t>
  </si>
  <si>
    <t>munter.christian@gmail.com</t>
  </si>
  <si>
    <t>+39 345 314189</t>
  </si>
  <si>
    <t>https://www.linkedin.com/in/christian-munter</t>
  </si>
  <si>
    <t>Ideas in Motion e.V.</t>
  </si>
  <si>
    <t>Strategic Business Consultant</t>
  </si>
  <si>
    <t>Kigali</t>
  </si>
  <si>
    <t>Christian Christodulopulos</t>
  </si>
  <si>
    <t>+39 338 98367</t>
  </si>
  <si>
    <t>Head of Italian Private Equity and M&amp;A Practices</t>
  </si>
  <si>
    <t>Senior Principal</t>
  </si>
  <si>
    <t>Advisory Board Member</t>
  </si>
  <si>
    <t>Christian Munter</t>
  </si>
  <si>
    <t xml:space="preserve">Innocenzo Ciavoliello </t>
  </si>
  <si>
    <t>+39 334 38964</t>
  </si>
  <si>
    <t>Digital Strategic Account Manager</t>
  </si>
  <si>
    <t>Milan, ITA</t>
  </si>
  <si>
    <t xml:space="preserve">Business Analyst </t>
  </si>
  <si>
    <t>Cino Parravicini</t>
  </si>
  <si>
    <t>Cinzia Prometti</t>
  </si>
  <si>
    <t>Clara Carluccio</t>
  </si>
  <si>
    <t>Corporate Banking Analyst</t>
  </si>
  <si>
    <t>London, GBR</t>
  </si>
  <si>
    <t xml:space="preserve">
Off-cycle Investment Banking Analyst</t>
  </si>
  <si>
    <t>Claudia De Antoni</t>
  </si>
  <si>
    <t>+44 79981241</t>
  </si>
  <si>
    <t>Head of International M&amp;A | CEO Office</t>
  </si>
  <si>
    <t>Flex Storage Inc.</t>
  </si>
  <si>
    <t>Business Advisor</t>
  </si>
  <si>
    <t>Claudia Frosi</t>
  </si>
  <si>
    <t>+39 334 9665782</t>
  </si>
  <si>
    <t>Claudio Colucci</t>
  </si>
  <si>
    <t xml:space="preserve">Claudio </t>
  </si>
  <si>
    <t>General Marketing Specialist</t>
  </si>
  <si>
    <t>Luxembourg, LUX</t>
  </si>
  <si>
    <t xml:space="preserve">Nova </t>
  </si>
  <si>
    <t>Member</t>
  </si>
  <si>
    <t>Claudio Tagliapietra</t>
  </si>
  <si>
    <t>tagliapietra.claudio@gmail.com</t>
  </si>
  <si>
    <t>+39 345 939941</t>
  </si>
  <si>
    <t>Visiting Research Fellow</t>
  </si>
  <si>
    <t>Claudio Totaro</t>
  </si>
  <si>
    <t>Valentina Colla</t>
  </si>
  <si>
    <t xml:space="preserve">Valentina </t>
  </si>
  <si>
    <t>+39 338 329262</t>
  </si>
  <si>
    <t>Wholesale Emea Sales Director</t>
  </si>
  <si>
    <t>Retail and Travel Retail Manager</t>
  </si>
  <si>
    <t>Cosimo Lisanti</t>
  </si>
  <si>
    <t xml:space="preserve">Cosimo </t>
  </si>
  <si>
    <t>+39 331 394753</t>
  </si>
  <si>
    <t>Navan</t>
  </si>
  <si>
    <t>Consulting Intern</t>
  </si>
  <si>
    <t>Cosimo Pennetta</t>
  </si>
  <si>
    <t>+39 388 428191</t>
  </si>
  <si>
    <t>Cristiana Dell'Acqua</t>
  </si>
  <si>
    <t>+39 345 486572</t>
  </si>
  <si>
    <t>https://www.linkedin.com/in/cristiana-dell-acqua-b6a6b81/</t>
  </si>
  <si>
    <t>General Manager</t>
  </si>
  <si>
    <t>Pambianco</t>
  </si>
  <si>
    <t>Junior</t>
  </si>
  <si>
    <t>Cristiano Fibbi</t>
  </si>
  <si>
    <t>+41 799 445795</t>
  </si>
  <si>
    <t xml:space="preserve">
Manager Corporate Strategy</t>
  </si>
  <si>
    <t>Geneve</t>
  </si>
  <si>
    <t>SOCAR Trading S.A.</t>
  </si>
  <si>
    <t xml:space="preserve">
Heavy distillate trader</t>
  </si>
  <si>
    <t>Cristina Istria</t>
  </si>
  <si>
    <t>Istria</t>
  </si>
  <si>
    <t>https://www.linkedin.com/in/cristinaistria</t>
  </si>
  <si>
    <t>Head of Human Resources</t>
  </si>
  <si>
    <t>Zurich, CHE</t>
  </si>
  <si>
    <t>Senior HR Manager EU</t>
  </si>
  <si>
    <t>Cristina Moniga</t>
  </si>
  <si>
    <t>+39 338 6715682</t>
  </si>
  <si>
    <t>Daniela Attinà</t>
  </si>
  <si>
    <t>https://www.linkedin.com/in/daniela-attin%EF%BF%BD-1428841/</t>
  </si>
  <si>
    <t>STUDIO VERITAX- Foresta Rossi Pezzini e Associati</t>
  </si>
  <si>
    <t>Daniela Marino</t>
  </si>
  <si>
    <t>Daniela Runchi</t>
  </si>
  <si>
    <t>+39 347 138 367</t>
  </si>
  <si>
    <t>Innovation Catalyst</t>
  </si>
  <si>
    <t>Daniela Vecchio</t>
  </si>
  <si>
    <t>Lombard Odier (Europe) SA</t>
  </si>
  <si>
    <t>COO</t>
  </si>
  <si>
    <t>Banca Albertini Syz &amp; C.</t>
  </si>
  <si>
    <t>Head of Compliance</t>
  </si>
  <si>
    <t>Daniele De Pascalis</t>
  </si>
  <si>
    <t>Aurora del Salento srl</t>
  </si>
  <si>
    <t>Lecce, ITA</t>
  </si>
  <si>
    <t>Agriculture</t>
  </si>
  <si>
    <t>Cairo &amp; Doutcher</t>
  </si>
  <si>
    <t>Lecce, Italy</t>
  </si>
  <si>
    <t>Daniele Gulinatti</t>
  </si>
  <si>
    <t>Olivetti</t>
  </si>
  <si>
    <t>CAE</t>
  </si>
  <si>
    <t>Daniele Midolo</t>
  </si>
  <si>
    <t>Dario Zambotti</t>
  </si>
  <si>
    <t>Deloitte Luxembourg</t>
  </si>
  <si>
    <t>Audit Director</t>
  </si>
  <si>
    <t>Audit Manager</t>
  </si>
  <si>
    <t>David Pierantozzi</t>
  </si>
  <si>
    <t>Partner Fondatore</t>
  </si>
  <si>
    <t>Collaboratore of counsel</t>
  </si>
  <si>
    <t>Davide Dabergami</t>
  </si>
  <si>
    <t>+39 328 4513928</t>
  </si>
  <si>
    <t>Consulente</t>
  </si>
  <si>
    <t>Italian and European Trademark Attorney</t>
  </si>
  <si>
    <t xml:space="preserve">Head of Legal </t>
  </si>
  <si>
    <t>Davide De Benedetto</t>
  </si>
  <si>
    <t>Scuola Militare Teulié</t>
  </si>
  <si>
    <t>Student Mentor</t>
  </si>
  <si>
    <t>Davide Gremmo</t>
  </si>
  <si>
    <t>+39 338 415862</t>
  </si>
  <si>
    <t>Senior Analyst</t>
  </si>
  <si>
    <t>University of St Gallen</t>
  </si>
  <si>
    <t>Davide Mazzucchelli</t>
  </si>
  <si>
    <t>https://www.linkedin.com/in/davide-mazzucchelli-895a89</t>
  </si>
  <si>
    <t>Karachaganak Petroleum Operating B.V. (KPO)</t>
  </si>
  <si>
    <t>HR CONTROLLER</t>
  </si>
  <si>
    <t>NAOC Ltd - Nigerian Agip Oil Company</t>
  </si>
  <si>
    <t>HR development</t>
  </si>
  <si>
    <t>Abuja, NG</t>
  </si>
  <si>
    <t>Davide Nicastro</t>
  </si>
  <si>
    <t>davide.nicastro@cnhind.com</t>
  </si>
  <si>
    <t>+55 319 98821</t>
  </si>
  <si>
    <t>https://www.linkedin.com/in/davide-nicastro-cia-ccsa-crma-6a6a316/</t>
  </si>
  <si>
    <t>CNH</t>
  </si>
  <si>
    <t>Brazil, BRA</t>
  </si>
  <si>
    <t>Fiat spa</t>
  </si>
  <si>
    <t>Head of Holding Audit</t>
  </si>
  <si>
    <t>Turin, ITA</t>
  </si>
  <si>
    <t>Davide Tomatis</t>
  </si>
  <si>
    <t>Diego De Giorgi</t>
  </si>
  <si>
    <t>https://www.linkedin.com/in/diego-de-giorgi-34734132/</t>
  </si>
  <si>
    <t>Bank of America Merrill Lynch</t>
  </si>
  <si>
    <t>Global Head of Investment Banking</t>
  </si>
  <si>
    <t>4/1/1094</t>
  </si>
  <si>
    <t>Dimitri Saco</t>
  </si>
  <si>
    <t>+39 338 6114971</t>
  </si>
  <si>
    <t>Avanade</t>
  </si>
  <si>
    <t>Business Operations Analyst</t>
  </si>
  <si>
    <t>Casa Italia Shpk</t>
  </si>
  <si>
    <t>Business Analyst Intern</t>
  </si>
  <si>
    <t>General Secretary</t>
  </si>
  <si>
    <t>Dylan Miranda</t>
  </si>
  <si>
    <t>http://linkedin.com/in/dylanfmiranda</t>
  </si>
  <si>
    <t>Edoardo Cilli</t>
  </si>
  <si>
    <t>edoardo.cilli@gmail.com</t>
  </si>
  <si>
    <t>+97 154 5864519</t>
  </si>
  <si>
    <t>Dubai, ARE</t>
  </si>
  <si>
    <t>Edoardo Gabrielli</t>
  </si>
  <si>
    <t>Edoardo Giovanni Raimondi</t>
  </si>
  <si>
    <t>CFO</t>
  </si>
  <si>
    <t>Edoardo Gnavi</t>
  </si>
  <si>
    <t>https://www.linkedin.com/in/edoardo-gnavi-51697146</t>
  </si>
  <si>
    <t>Core Informatica S.r.L.</t>
  </si>
  <si>
    <t>Edoardo Longo</t>
  </si>
  <si>
    <t>(328 9684819)</t>
  </si>
  <si>
    <t>https://www.linkedin.com/in/edoardo-longo-38a7/</t>
  </si>
  <si>
    <t>Senior Planner</t>
  </si>
  <si>
    <t>Monaco, MCO</t>
  </si>
  <si>
    <t>Vendor Manager</t>
  </si>
  <si>
    <t>Edoardo Mazzotta</t>
  </si>
  <si>
    <t>Junior Consultant</t>
  </si>
  <si>
    <t>Edoardo Rozzoni</t>
  </si>
  <si>
    <t>Head of Customer Value Management</t>
  </si>
  <si>
    <t>Head of Customer Relationship Marketing and Loyalty Card</t>
  </si>
  <si>
    <t xml:space="preserve">Maria Semi Efrem </t>
  </si>
  <si>
    <t>Semi Efrem</t>
  </si>
  <si>
    <t>https://www.linkedin.com/in/efrem-maria-semi-94a1211a</t>
  </si>
  <si>
    <t>Risk Analyst - Risk Appetite</t>
  </si>
  <si>
    <t>Elektra Hauptkorn</t>
  </si>
  <si>
    <t>Elena Barbieri</t>
  </si>
  <si>
    <t>+39 349 2716318</t>
  </si>
  <si>
    <t>+44 792 851244</t>
  </si>
  <si>
    <t>Business Manager</t>
  </si>
  <si>
    <t>Assistant Commercial Manager</t>
  </si>
  <si>
    <t>Elena Cialliè</t>
  </si>
  <si>
    <t>https://www.linkedin.com/in/elena-ciallie-445231/</t>
  </si>
  <si>
    <t>Non Executive Director</t>
  </si>
  <si>
    <t>Gruppo L'Espresso</t>
  </si>
  <si>
    <t>Elena Fumagalli</t>
  </si>
  <si>
    <t>+39 349 537942</t>
  </si>
  <si>
    <t>Suominen Corporation</t>
  </si>
  <si>
    <t>Controller</t>
  </si>
  <si>
    <t>Como, ITA</t>
  </si>
  <si>
    <t>Audirevi Srl Società di Revisione e organizzazione contabile</t>
  </si>
  <si>
    <t>Supervisor</t>
  </si>
  <si>
    <t>Elena Mariani</t>
  </si>
  <si>
    <t>+39 338 1677369</t>
  </si>
  <si>
    <t>Business Associate</t>
  </si>
  <si>
    <t>Elena Sassi</t>
  </si>
  <si>
    <t>https://www.linkedin.com/in/elena-sassi-182a91</t>
  </si>
  <si>
    <t>HR Consulting -Italy</t>
  </si>
  <si>
    <t>Eleonora Ambrosanio</t>
  </si>
  <si>
    <t>Eleonora Massaro</t>
  </si>
  <si>
    <t>https://www.linkedin.com/in/eleonora-massaro-7649259</t>
  </si>
  <si>
    <t>SCATOLIFICIO SAMA</t>
  </si>
  <si>
    <t>Imprenditrice</t>
  </si>
  <si>
    <t>Elia Giust</t>
  </si>
  <si>
    <t>Eliana Caroccia</t>
  </si>
  <si>
    <t>+39 338 113323</t>
  </si>
  <si>
    <t>Mazars Corporate Finance</t>
  </si>
  <si>
    <t>Elisa Costantini</t>
  </si>
  <si>
    <t>+39 349 341448</t>
  </si>
  <si>
    <t>Marketing Manager</t>
  </si>
  <si>
    <t>Turin, Ita</t>
  </si>
  <si>
    <t>Art Night London</t>
  </si>
  <si>
    <t>Business Development</t>
  </si>
  <si>
    <t>Elisa Riboldi</t>
  </si>
  <si>
    <t>+39 348 499897</t>
  </si>
  <si>
    <t>Strategy Director</t>
  </si>
  <si>
    <t>Switzerland, CHE</t>
  </si>
  <si>
    <t>Nestlè</t>
  </si>
  <si>
    <t>Elisa Sorgi</t>
  </si>
  <si>
    <t>The Luxury Closet, Inc.</t>
  </si>
  <si>
    <t>Chief Merchandising Officer</t>
  </si>
  <si>
    <t>Founder and Owner</t>
  </si>
  <si>
    <t>Elisabetta Giacopini</t>
  </si>
  <si>
    <t>Organization Manager</t>
  </si>
  <si>
    <t>Elisabetta Lancellotti</t>
  </si>
  <si>
    <t>https://www.linkedin.com/in/elisabetta-lancellotti-4166b2b/</t>
  </si>
  <si>
    <t>Planning and Budgeting Manager</t>
  </si>
  <si>
    <t>Performance &amp; Incentive Manager</t>
  </si>
  <si>
    <t>Elisabetta Romussi</t>
  </si>
  <si>
    <t>Head of Risk Management</t>
  </si>
  <si>
    <t>Settlement</t>
  </si>
  <si>
    <t>1/1/1093</t>
  </si>
  <si>
    <t>Emanuele Emmolo</t>
  </si>
  <si>
    <t>Emmolo</t>
  </si>
  <si>
    <t>Emanuele Iemmolo</t>
  </si>
  <si>
    <t>Creazione di Valore Srl</t>
  </si>
  <si>
    <t>Junior Analyst</t>
  </si>
  <si>
    <t>Nuovolab</t>
  </si>
  <si>
    <t>Business Analyst and Rainmaker</t>
  </si>
  <si>
    <t>0/1/1900</t>
  </si>
  <si>
    <t>Emanuele Solidoro</t>
  </si>
  <si>
    <t>+39 393 132984</t>
  </si>
  <si>
    <t>Vice Presidente</t>
  </si>
  <si>
    <t>Emilio Martano</t>
  </si>
  <si>
    <t>emilio.martano@gmail.com</t>
  </si>
  <si>
    <t>+39 339 2372849</t>
  </si>
  <si>
    <t>+39 333 3364642</t>
  </si>
  <si>
    <t>https://www.linkedin.com/in/emilio-martano-8494a4/</t>
  </si>
  <si>
    <t>Widiba</t>
  </si>
  <si>
    <t>Direttore Comunicazione</t>
  </si>
  <si>
    <t>Emily Wu</t>
  </si>
  <si>
    <t>Enrico Dallò</t>
  </si>
  <si>
    <t>+39 345 34368</t>
  </si>
  <si>
    <t>Agile Coach</t>
  </si>
  <si>
    <t>Digital transformation consultant</t>
  </si>
  <si>
    <t>Enrico Grasso</t>
  </si>
  <si>
    <t>Hg</t>
  </si>
  <si>
    <t>Dada</t>
  </si>
  <si>
    <t>Ernesto Visentin</t>
  </si>
  <si>
    <t>ernestovisentin@tiscali.it</t>
  </si>
  <si>
    <t>+39 347 566165</t>
  </si>
  <si>
    <t>https://www.linkedin.com/in/ernesto-visentin-163171/</t>
  </si>
  <si>
    <t>Ettore Armani</t>
  </si>
  <si>
    <t>ettorearmani@gmail.com</t>
  </si>
  <si>
    <t>+39 322 496321</t>
  </si>
  <si>
    <t>Corporate Finance Senior Analyst</t>
  </si>
  <si>
    <t>Praesidium SGR SpA</t>
  </si>
  <si>
    <t>Investment Analyst</t>
  </si>
  <si>
    <t>Eugenia Fornieri Macchi</t>
  </si>
  <si>
    <t>Competencies Director</t>
  </si>
  <si>
    <t>Paris, FRA</t>
  </si>
  <si>
    <t>HR</t>
  </si>
  <si>
    <t>Eugenio Izzo</t>
  </si>
  <si>
    <t>+39 333 791426</t>
  </si>
  <si>
    <t>BCG</t>
  </si>
  <si>
    <t>Visiting Associate</t>
  </si>
  <si>
    <t>Eva Chiribella</t>
  </si>
  <si>
    <t>FareHarbor</t>
  </si>
  <si>
    <t>Territory Manager</t>
  </si>
  <si>
    <t>Amsterdam, NLD</t>
  </si>
  <si>
    <t>Leisure, Travel &amp; Tourism</t>
  </si>
  <si>
    <t>Account Executive</t>
  </si>
  <si>
    <t>Head of Communication</t>
  </si>
  <si>
    <t>Fabio Colombo</t>
  </si>
  <si>
    <t>fabiofelice.colombo@libero.it</t>
  </si>
  <si>
    <t>Fabio Fedel</t>
  </si>
  <si>
    <t>2366971 (lavoro)</t>
  </si>
  <si>
    <t>HOW-4</t>
  </si>
  <si>
    <t>Managing Partner</t>
  </si>
  <si>
    <t>Fabio Galimberti</t>
  </si>
  <si>
    <t>+39 335 628285</t>
  </si>
  <si>
    <t>Fabio Puddu</t>
  </si>
  <si>
    <t>+39 328 4777516</t>
  </si>
  <si>
    <t>Chief Executive Officer</t>
  </si>
  <si>
    <t>Sisal spa</t>
  </si>
  <si>
    <t>Production Manager</t>
  </si>
  <si>
    <t>Fabrizio Boaron</t>
  </si>
  <si>
    <t>Interim Head of WRM</t>
  </si>
  <si>
    <t>Investment Partner</t>
  </si>
  <si>
    <t>Fabrizio Zarcone</t>
  </si>
  <si>
    <t>Federica Comunello</t>
  </si>
  <si>
    <t>7824 86314</t>
  </si>
  <si>
    <t>https://www.linkedin.com/in/federica-comunello-1169562</t>
  </si>
  <si>
    <t>Wyser</t>
  </si>
  <si>
    <t>Federica Di Ridolfi</t>
  </si>
  <si>
    <t>(349 3326)</t>
  </si>
  <si>
    <t>https://www.linkedin.com/in/federica-fede-brugnera-8527771</t>
  </si>
  <si>
    <t>Pisces Inc</t>
  </si>
  <si>
    <t>Vice President (VP), FP&amp;A</t>
  </si>
  <si>
    <t>Federica Odorisio</t>
  </si>
  <si>
    <t>+39 393 934517</t>
  </si>
  <si>
    <t>Camera di Commercio Austaliana</t>
  </si>
  <si>
    <t>Brisbane, AUS</t>
  </si>
  <si>
    <t>Trade Officer</t>
  </si>
  <si>
    <t>Federica Sallorenzo</t>
  </si>
  <si>
    <t>Builders Union Asset Management</t>
  </si>
  <si>
    <t>Federica Sollorenzo</t>
  </si>
  <si>
    <t>Federica Termine</t>
  </si>
  <si>
    <t>https://www.linkedin.com/in/federica-termine-88751b3/</t>
  </si>
  <si>
    <t>Consultant People Advisory</t>
  </si>
  <si>
    <t>UP UmanaPersone</t>
  </si>
  <si>
    <t>stagista</t>
  </si>
  <si>
    <t>Federico Bovenzi</t>
  </si>
  <si>
    <t>+39 348 3895322</t>
  </si>
  <si>
    <t>Student Ambassador</t>
  </si>
  <si>
    <t>E. Marinella</t>
  </si>
  <si>
    <t>Sales Assistant</t>
  </si>
  <si>
    <t>Federico De Florio</t>
  </si>
  <si>
    <t>deflorio.fede@gmail.com</t>
  </si>
  <si>
    <t>Sales Manager</t>
  </si>
  <si>
    <t>Account Manager</t>
  </si>
  <si>
    <t>Federico Golia</t>
  </si>
  <si>
    <t>+39 328 662824</t>
  </si>
  <si>
    <t>https://www.linkedin.com/in/federico-golia-4957/</t>
  </si>
  <si>
    <t>Federico Guanziroli</t>
  </si>
  <si>
    <t>Private Equity Senior Associate</t>
  </si>
  <si>
    <t>Federico Pedrinoni</t>
  </si>
  <si>
    <t>Federico Rossi Erba</t>
  </si>
  <si>
    <t>Rossi Erba</t>
  </si>
  <si>
    <t>https://www.linkedin.com/in/federicolorenzorossi</t>
  </si>
  <si>
    <t>Journalist - Freelancer</t>
  </si>
  <si>
    <t>Bergamo, ITA</t>
  </si>
  <si>
    <t>Federico Vigani</t>
  </si>
  <si>
    <t>Lead Venture Architect</t>
  </si>
  <si>
    <t>Berlin, GER</t>
  </si>
  <si>
    <t>Project Leader</t>
  </si>
  <si>
    <t>Filippa Angela</t>
  </si>
  <si>
    <t>https://www.linkedin.com/ingela-filippa-942369161/</t>
  </si>
  <si>
    <t>Credit Risk Management - Latin America</t>
  </si>
  <si>
    <t>New York, NY</t>
  </si>
  <si>
    <t>Filippo Lafronza</t>
  </si>
  <si>
    <t>Filippo Palamara</t>
  </si>
  <si>
    <t>+39 348 813153</t>
  </si>
  <si>
    <t>Strategy Intern</t>
  </si>
  <si>
    <t>Monaco, MO</t>
  </si>
  <si>
    <t>The Future Makers Association</t>
  </si>
  <si>
    <t>Filippo Rosati</t>
  </si>
  <si>
    <t>(339 81743)</t>
  </si>
  <si>
    <t>Filippo Teso</t>
  </si>
  <si>
    <t>filippo.teso@outlook.com</t>
  </si>
  <si>
    <t>http://linkedin.com/in/filippoteso</t>
  </si>
  <si>
    <t>Florian Nuebling</t>
  </si>
  <si>
    <t>3 555 734 46</t>
  </si>
  <si>
    <t>Volatiles Lighting Gmbh</t>
  </si>
  <si>
    <t>+39 335 586285</t>
  </si>
  <si>
    <t>https://www.linkedin.com/ilessiofortunatoficara/</t>
  </si>
  <si>
    <t>Francesca Busuito</t>
  </si>
  <si>
    <t>+39 328 8671377</t>
  </si>
  <si>
    <t>https://www.linkedin.com/in/francesca-busuito-6a316/</t>
  </si>
  <si>
    <t>Trade Marketing Manager</t>
  </si>
  <si>
    <t>Design Manager</t>
  </si>
  <si>
    <t>Cincinnati, OH</t>
  </si>
  <si>
    <t>Francesca Costa</t>
  </si>
  <si>
    <t>Francesca Faggion</t>
  </si>
  <si>
    <t>Test We Can</t>
  </si>
  <si>
    <t>Tutor Studenti</t>
  </si>
  <si>
    <t>Research Fellow</t>
  </si>
  <si>
    <t>Francesca Perfetti</t>
  </si>
  <si>
    <t>https://www.linkedin.com/in/francesca-perfetti-76771171</t>
  </si>
  <si>
    <t>SGCIB</t>
  </si>
  <si>
    <t>Derivatives Legal Advisor</t>
  </si>
  <si>
    <t>PGLaw</t>
  </si>
  <si>
    <t>Summer Intern - Corporate Division</t>
  </si>
  <si>
    <t>Sao Paulo, BRA</t>
  </si>
  <si>
    <t>Francesca Sala</t>
  </si>
  <si>
    <t>Francesca Sattin</t>
  </si>
  <si>
    <t>+39 347 4578529</t>
  </si>
  <si>
    <t>https://www.linkedin.com/in/francesca-sattin-7127471b/</t>
  </si>
  <si>
    <t>BACK to WORK 24</t>
  </si>
  <si>
    <t>Deal Manager</t>
  </si>
  <si>
    <t>Presidente</t>
  </si>
  <si>
    <t>Francesco Antognoni</t>
  </si>
  <si>
    <t>Francesco Basile</t>
  </si>
  <si>
    <t>The Dow Chemical Company</t>
  </si>
  <si>
    <t>Market Developement Manager</t>
  </si>
  <si>
    <t>Sales</t>
  </si>
  <si>
    <t>Francesco Benintende</t>
  </si>
  <si>
    <t>fb_mathman@hotmail.com</t>
  </si>
  <si>
    <t>+39 349 32179</t>
  </si>
  <si>
    <t>+39 341 719466</t>
  </si>
  <si>
    <t>Associate Partner</t>
  </si>
  <si>
    <t>Francesco Bernardini</t>
  </si>
  <si>
    <t>+39 347 1953371</t>
  </si>
  <si>
    <t>https://www.linkedin.com/in/francesco-bernardini-815451/</t>
  </si>
  <si>
    <t>Responsabile Assetti Organizzativi</t>
  </si>
  <si>
    <t>Modelli e Processi Commerciali</t>
  </si>
  <si>
    <t>Francesco D'Angelo</t>
  </si>
  <si>
    <t>Research Assistant and Visiting Student at IGIER</t>
  </si>
  <si>
    <t>Francesco Fabbrini</t>
  </si>
  <si>
    <t>YELDO</t>
  </si>
  <si>
    <t>Chief Financial Officer</t>
  </si>
  <si>
    <t>Risk Managment</t>
  </si>
  <si>
    <t>Francesco Fasiello</t>
  </si>
  <si>
    <t>+39 349 42447</t>
  </si>
  <si>
    <t>https://www.linkedin.com/in/francesco-fasiello-4449315/</t>
  </si>
  <si>
    <t>Marketing Intelligence specialist</t>
  </si>
  <si>
    <t>Francesco Ferri</t>
  </si>
  <si>
    <t>+39 347 587278</t>
  </si>
  <si>
    <t>Assinter Italia</t>
  </si>
  <si>
    <t>ARIA S.p.A. Lombardia</t>
  </si>
  <si>
    <t>Francesco Filippucci</t>
  </si>
  <si>
    <t>+39 333 8418957</t>
  </si>
  <si>
    <t>https://www.linkedin.com/in/francesco-filippucci-a19a5418/</t>
  </si>
  <si>
    <t>TortugaEcon</t>
  </si>
  <si>
    <t>Francesco Gaetarelli</t>
  </si>
  <si>
    <t>+39 341 448148</t>
  </si>
  <si>
    <t>Brescia, ITA</t>
  </si>
  <si>
    <t>Veriflot</t>
  </si>
  <si>
    <t>Francesco Gaini</t>
  </si>
  <si>
    <t>+39 348 3556492</t>
  </si>
  <si>
    <t>Group Head Strategic Planning and Reporting</t>
  </si>
  <si>
    <t>Group Head Project Governance and Post Merger Integration</t>
  </si>
  <si>
    <t>Francesco Gesess</t>
  </si>
  <si>
    <t>francesco.gesess@jeme.it</t>
  </si>
  <si>
    <t>+39 38 2427926</t>
  </si>
  <si>
    <t>Francesco Grassi</t>
  </si>
  <si>
    <t>+39 333 776694</t>
  </si>
  <si>
    <t>https://www.linkedin.com/in/francesco-grassi-a124313/</t>
  </si>
  <si>
    <t>Global Innovation Manager</t>
  </si>
  <si>
    <t>Cuneo, ITA</t>
  </si>
  <si>
    <t>Global Trade Activation Manager</t>
  </si>
  <si>
    <t>Francesco Mancini</t>
  </si>
  <si>
    <t>Lee Kuan Yew School of Public Policy Executive Education</t>
  </si>
  <si>
    <t>Associate Dean &amp; Co-Director and Associate Professor</t>
  </si>
  <si>
    <t>Adjunct Associate Professor</t>
  </si>
  <si>
    <t>Francesco Mozzone</t>
  </si>
  <si>
    <t>+39 346 9769997</t>
  </si>
  <si>
    <t>https://www.linkedin.com/in/francesco-mozzone-6a41b41a</t>
  </si>
  <si>
    <t>Finance Trainee</t>
  </si>
  <si>
    <t>Francesco Raschi</t>
  </si>
  <si>
    <t>2 29511</t>
  </si>
  <si>
    <t>https://www.linkedin.com/in/francesco-raschi-743261/</t>
  </si>
  <si>
    <t>SEA Milan Airport</t>
  </si>
  <si>
    <t>VP Cargo</t>
  </si>
  <si>
    <t>VP Real Estate</t>
  </si>
  <si>
    <t>Francesco Rossi</t>
  </si>
  <si>
    <t>Lexellent</t>
  </si>
  <si>
    <t>Legal Internship</t>
  </si>
  <si>
    <t>Francesco Rubinacci</t>
  </si>
  <si>
    <t>https://www.linkedin.com/in/francesco-rubinacci-633b67159/</t>
  </si>
  <si>
    <t>Francesco Sacco</t>
  </si>
  <si>
    <t>+39 348 221139</t>
  </si>
  <si>
    <t>SDA Bocconi - Università dell'Insubria</t>
  </si>
  <si>
    <t>Professore</t>
  </si>
  <si>
    <t>Rome, ITA</t>
  </si>
  <si>
    <t>Francesco Utizi</t>
  </si>
  <si>
    <t>Equity Partner</t>
  </si>
  <si>
    <t>Franco Cellini</t>
  </si>
  <si>
    <t>Fulvia Dragonetti</t>
  </si>
  <si>
    <t>+39 348 636352</t>
  </si>
  <si>
    <t>https://www.linkedin.com/in/fulvia-dragonetti-459b46</t>
  </si>
  <si>
    <t>Senior Auditor</t>
  </si>
  <si>
    <t>Gabriele Contino</t>
  </si>
  <si>
    <t>gabriele.contino@googlemail.com</t>
  </si>
  <si>
    <t>+39 353 831289545</t>
  </si>
  <si>
    <t>Linkedin</t>
  </si>
  <si>
    <t>Senior Strategic Advisor</t>
  </si>
  <si>
    <t>Dublin, IRL</t>
  </si>
  <si>
    <t>Strategic Advisor</t>
  </si>
  <si>
    <t>Gabriele Doppiu</t>
  </si>
  <si>
    <t>+39 329 1181411</t>
  </si>
  <si>
    <t>Gabriele Marino Noberasco</t>
  </si>
  <si>
    <t>https://www.linkedin.com/in/gabriele-marino-noberasco-8a5a8a3</t>
  </si>
  <si>
    <t>BFP - Bettini Formigaro Pericu</t>
  </si>
  <si>
    <t>Genova, ITA</t>
  </si>
  <si>
    <t>Academic Fellow in Constitutional Law</t>
  </si>
  <si>
    <t>Gabriele Tamburini</t>
  </si>
  <si>
    <t>+39 328 4765466</t>
  </si>
  <si>
    <t>Impresa Rota srl</t>
  </si>
  <si>
    <t>Gabriele Tora</t>
  </si>
  <si>
    <t>+393 938984928</t>
  </si>
  <si>
    <t>Analyst intern</t>
  </si>
  <si>
    <t>Giacomo Barone</t>
  </si>
  <si>
    <t>giacomo.barone@buildnn.com</t>
  </si>
  <si>
    <t>+39 393 8984928</t>
  </si>
  <si>
    <t>BuildNN</t>
  </si>
  <si>
    <t>CEO &amp; Co-Founder</t>
  </si>
  <si>
    <t>Researcher - Deep Learning for Economics</t>
  </si>
  <si>
    <t>Giacomo Branchini</t>
  </si>
  <si>
    <t>79 81 32 39 18</t>
  </si>
  <si>
    <t>https://www.linkedin.com/in/giacomo-branchini-535881/</t>
  </si>
  <si>
    <t>KKR &amp; Co.L.P.</t>
  </si>
  <si>
    <t>Private Equity Principal</t>
  </si>
  <si>
    <t>Private Equity Associate</t>
  </si>
  <si>
    <t>Giacomo Camisassa</t>
  </si>
  <si>
    <t>https://www.linkedin.com/in/camisassagiacomo</t>
  </si>
  <si>
    <t>Mumbai, IND</t>
  </si>
  <si>
    <t>Thor Energy LTD</t>
  </si>
  <si>
    <t>COO &amp; Co-Founder</t>
  </si>
  <si>
    <t>Giacomo Carraro</t>
  </si>
  <si>
    <t>+39 393 42848885</t>
  </si>
  <si>
    <t>https://www.linkedin.com/in/giacomo-carraro-5a66812/</t>
  </si>
  <si>
    <t>Giacomo Da Mommio</t>
  </si>
  <si>
    <t>+39 393 924199571</t>
  </si>
  <si>
    <t>Giacomo Del Grande</t>
  </si>
  <si>
    <t>JOLT CAPITAL</t>
  </si>
  <si>
    <t>Financial and Strategic Advisor</t>
  </si>
  <si>
    <t>Giacomo Farinati</t>
  </si>
  <si>
    <t>https://www.linkedin.com/in/giacomo-farinati-b495b113</t>
  </si>
  <si>
    <t>Legal Affairs &amp; Strategic Projects</t>
  </si>
  <si>
    <t>Banking Legal Intern</t>
  </si>
  <si>
    <t>Giacomo Mazzini</t>
  </si>
  <si>
    <t>(348 44562)</t>
  </si>
  <si>
    <t>Director of Leather</t>
  </si>
  <si>
    <t>The Row LLC</t>
  </si>
  <si>
    <t>Director of Accessories</t>
  </si>
  <si>
    <t>Giacomo Pastore</t>
  </si>
  <si>
    <t>+39 349 41987</t>
  </si>
  <si>
    <t>Vismara Marine</t>
  </si>
  <si>
    <t>Financial Advisor</t>
  </si>
  <si>
    <t>Giacomo Rebecchi</t>
  </si>
  <si>
    <t>https://www.linkedin.com/in/giacomo-rebecchi-39213155/</t>
  </si>
  <si>
    <t>Giacomo Sainaghi</t>
  </si>
  <si>
    <t>https://www.linkedin.com/in/giacomo-sainaghi-5285779/</t>
  </si>
  <si>
    <t>Brand Manager</t>
  </si>
  <si>
    <t>Market Developer</t>
  </si>
  <si>
    <t>Giada Zhang</t>
  </si>
  <si>
    <t>Cremona, ITA</t>
  </si>
  <si>
    <t>Gian Marco Minissale</t>
  </si>
  <si>
    <t>https://www.linkedin.com/in/gian-marco-minissale-11812416</t>
  </si>
  <si>
    <t>Gianandrea Cherubini</t>
  </si>
  <si>
    <t>Partner - Head of NPLs Business</t>
  </si>
  <si>
    <t>Giancarlo Almiento</t>
  </si>
  <si>
    <t>Giancarlo Marinoni</t>
  </si>
  <si>
    <t>Steiner eOptics</t>
  </si>
  <si>
    <t>Chief of Strategy</t>
  </si>
  <si>
    <t>Giangiacomo Corona</t>
  </si>
  <si>
    <t>+39 366 6433196</t>
  </si>
  <si>
    <t>Wonderbox</t>
  </si>
  <si>
    <t>Sales Director</t>
  </si>
  <si>
    <t>National Key Account Manager</t>
  </si>
  <si>
    <t>Gianluca Giani</t>
  </si>
  <si>
    <t>gianluca.giani@jeme.it</t>
  </si>
  <si>
    <t>+39 333 493916</t>
  </si>
  <si>
    <t>Gianluca Ventola</t>
  </si>
  <si>
    <t>gianluca.ventola@inchiaro.it</t>
  </si>
  <si>
    <t>+39 329 4325377</t>
  </si>
  <si>
    <t>House Selection</t>
  </si>
  <si>
    <t>Sales and Business Development Manager</t>
  </si>
  <si>
    <t>Gianmaria Adamo</t>
  </si>
  <si>
    <t>(34 364327)</t>
  </si>
  <si>
    <t>ZAGATO</t>
  </si>
  <si>
    <t>Commercial Manager</t>
  </si>
  <si>
    <t>Poland</t>
  </si>
  <si>
    <t>Store Manager</t>
  </si>
  <si>
    <t>Giannicola Fazia</t>
  </si>
  <si>
    <t>+49 151 68 823</t>
  </si>
  <si>
    <t>Team Leader</t>
  </si>
  <si>
    <t>Düsseldrof, GER</t>
  </si>
  <si>
    <t>Purchasing Manager</t>
  </si>
  <si>
    <t>United Arab Emirates, ARE</t>
  </si>
  <si>
    <t>Giorgia Delogu</t>
  </si>
  <si>
    <t>https://www.linkedin.com/in/giorgia-delogu-732a212b</t>
  </si>
  <si>
    <t>Beltmap</t>
  </si>
  <si>
    <t>Business Development Collaborator</t>
  </si>
  <si>
    <t>School of Entrepreneurship &amp; Innovation (SEI)</t>
  </si>
  <si>
    <t>Analyst - Explorer Program</t>
  </si>
  <si>
    <t>Torino, ITA</t>
  </si>
  <si>
    <t>Giorgia Ponti</t>
  </si>
  <si>
    <t>Vicenza, ITA</t>
  </si>
  <si>
    <t>Anaylist</t>
  </si>
  <si>
    <t>Giorgio Gallo</t>
  </si>
  <si>
    <t>giorgio.gallo@lehman.com</t>
  </si>
  <si>
    <t>+39 333 8992583</t>
  </si>
  <si>
    <t>+44 794 23829</t>
  </si>
  <si>
    <t>Dottore Commercialista e Revisore Contabile</t>
  </si>
  <si>
    <t>Praticante</t>
  </si>
  <si>
    <t>Giorgio Papa</t>
  </si>
  <si>
    <t>https://www.linkedin.com/in/giorgio-papa-922591b/</t>
  </si>
  <si>
    <t>External</t>
  </si>
  <si>
    <t>Giovanna Conzi</t>
  </si>
  <si>
    <t>+39 328 2195981</t>
  </si>
  <si>
    <t>Group Leader</t>
  </si>
  <si>
    <t>Giovanni Cartapani</t>
  </si>
  <si>
    <t>giovanni.cartapani@jeme.it</t>
  </si>
  <si>
    <t>Giovanni Malacarne</t>
  </si>
  <si>
    <t>Senior Vendor Manager</t>
  </si>
  <si>
    <t>Giovanni Mardente</t>
  </si>
  <si>
    <t>giovanni.mardente@jeme.it</t>
  </si>
  <si>
    <t>+39 347 2466116</t>
  </si>
  <si>
    <t>https://www.linkedin.com/in/giovanni-mardente-68a9b1b/</t>
  </si>
  <si>
    <t>Giovanni Petrella</t>
  </si>
  <si>
    <t>+39 392 723437</t>
  </si>
  <si>
    <t>Member of the Securities and Markets Stakeholder Group</t>
  </si>
  <si>
    <t>Professor of Banking</t>
  </si>
  <si>
    <t>Giovanni Petruzzelli</t>
  </si>
  <si>
    <t>+39 393 299869</t>
  </si>
  <si>
    <t>Innovation Consultant - Summer Intern</t>
  </si>
  <si>
    <t>Giovanni Prior</t>
  </si>
  <si>
    <t>+39 393 482831944</t>
  </si>
  <si>
    <t>Industrial Digital Consultant</t>
  </si>
  <si>
    <t>Padova, ITA</t>
  </si>
  <si>
    <t>Venice Custom Coil</t>
  </si>
  <si>
    <t>Giuditta Castello</t>
  </si>
  <si>
    <t>+39 347 6515993</t>
  </si>
  <si>
    <t>Studio SOLIDORO</t>
  </si>
  <si>
    <t>Restructuring specialist</t>
  </si>
  <si>
    <t>Alix Partners</t>
  </si>
  <si>
    <t>10/24/2011</t>
  </si>
  <si>
    <t>Giulia Capetti</t>
  </si>
  <si>
    <t>+39 34 7354336</t>
  </si>
  <si>
    <t>Dottore Commercialista e Revisore Contabile, Praticante</t>
  </si>
  <si>
    <t>Studio Magni Matonti</t>
  </si>
  <si>
    <t>Viale Ca' Granda 2, Milano</t>
  </si>
  <si>
    <t>Giulia Ferro</t>
  </si>
  <si>
    <t>+39 3392267983</t>
  </si>
  <si>
    <t>Vice president, Treasurer, Associate Consultant</t>
  </si>
  <si>
    <t>Giulia Frassanito</t>
  </si>
  <si>
    <t>+4176 2469837</t>
  </si>
  <si>
    <t>Senior Brand Manager, Head &amp; Shoulders Europe, Brand Manager, Head &amp; Shoulders Global, Assistant Brand Manager Intern, Head &amp; Shoulders Global</t>
  </si>
  <si>
    <t>Giulia Galbiati</t>
  </si>
  <si>
    <t>giulia1.galbiati@gmail.com</t>
  </si>
  <si>
    <t>+39 3342781877</t>
  </si>
  <si>
    <t>Giulia Maria Poletti de Chaurand</t>
  </si>
  <si>
    <t>Investment Executive</t>
  </si>
  <si>
    <t>Tech Investor</t>
  </si>
  <si>
    <t>Giuliana Costa</t>
  </si>
  <si>
    <t>Giuliana Valieri</t>
  </si>
  <si>
    <t>+39 347 9199283</t>
  </si>
  <si>
    <t>Giulietta Poltronieri</t>
  </si>
  <si>
    <t>Associate Partner, Engagement Manager, Associate, Business Analyst</t>
  </si>
  <si>
    <t>Business Associate Intern SMB Sales</t>
  </si>
  <si>
    <t>Dublin, Ireland</t>
  </si>
  <si>
    <t>Giulio Veggi</t>
  </si>
  <si>
    <t>giulio.veggi@gmail.com</t>
  </si>
  <si>
    <t>+39 335 6784261</t>
  </si>
  <si>
    <t>Head of Innovation</t>
  </si>
  <si>
    <t>Roma</t>
  </si>
  <si>
    <t>Consulente di project management</t>
  </si>
  <si>
    <t>Paesi Bassi</t>
  </si>
  <si>
    <t>Giuseppe Di Gesaro</t>
  </si>
  <si>
    <t>+39 345 229878</t>
  </si>
  <si>
    <t>In-stock Manager (L5), In-stock Manager (L4), Program Manager Intern</t>
  </si>
  <si>
    <t>Milan Area, Italy</t>
  </si>
  <si>
    <t>HR Manager</t>
  </si>
  <si>
    <t>Giuseppe Tartaglia</t>
  </si>
  <si>
    <t>+39 393 1111837</t>
  </si>
  <si>
    <t>Markwins Beauty Brands International LTD</t>
  </si>
  <si>
    <t>Senior Vice President Finance &amp; Digital Innovation, VP of Controlling, Business Planning &amp; Innovation of INT'L, International Controlling &amp; Reporting Director, Controlling &amp; Reporting Manager</t>
  </si>
  <si>
    <t>Financial Controller Digital &amp; Web</t>
  </si>
  <si>
    <t>Gloria Verzella</t>
  </si>
  <si>
    <t>Legal Intern - M&amp;A, Finance</t>
  </si>
  <si>
    <t>JEME Bocconi</t>
  </si>
  <si>
    <t>Associate Consultant, Head of the Legal Department</t>
  </si>
  <si>
    <t>Graziano Santoro</t>
  </si>
  <si>
    <t>Head of Credit GLP, VP Flussi di Bilancio, Consolidato e Coordinamento Consociate Midstream</t>
  </si>
  <si>
    <t>Eni gas e luce</t>
  </si>
  <si>
    <t>Head of Credit and Energy Management Risk Control</t>
  </si>
  <si>
    <t>San Donato Milanese</t>
  </si>
  <si>
    <t>Gregorio Nastasi</t>
  </si>
  <si>
    <t>+39 346 373194</t>
  </si>
  <si>
    <t>+39 389 6234587</t>
  </si>
  <si>
    <t>Analytics &amp; Insights Consultant, Professional Services II, Amazon Ads, Analytics &amp; Media Manager, Professional Services I, Amazon Ads</t>
  </si>
  <si>
    <t>Amazon · Internship</t>
  </si>
  <si>
    <t>Advertising Account Executive, Amazon Ads</t>
  </si>
  <si>
    <t>Guglielmo Fornaro</t>
  </si>
  <si>
    <t>NUO</t>
  </si>
  <si>
    <t>Guglielmo Iani</t>
  </si>
  <si>
    <t>guglielmo.iani@jeme.it</t>
  </si>
  <si>
    <t>Guido Radaelli</t>
  </si>
  <si>
    <t>+39 344 61515</t>
  </si>
  <si>
    <t>Global Marketing Manager Ray-Ban</t>
  </si>
  <si>
    <t>AVP Global Marketing and Product Development Matrix , Marketing Manager L'Oréal Paris, Global Marketing and Product Development, DMI Garnier, Group Marketing Manager L'Oréal Paris, Product Manager L'Oréal Paris</t>
  </si>
  <si>
    <t>Guido Reyneri</t>
  </si>
  <si>
    <t xml:space="preserve">Infrastructure Private Equity Analyst </t>
  </si>
  <si>
    <t>Infrastructure Private Equity Intern</t>
  </si>
  <si>
    <t>Hendrik Fröhling</t>
  </si>
  <si>
    <t>Munich, Bavaria, Germany</t>
  </si>
  <si>
    <t>Henrique Muzzi</t>
  </si>
  <si>
    <t>https://www.linkedin.com/in/hsm/</t>
  </si>
  <si>
    <t>Merantix</t>
  </si>
  <si>
    <t>Business Development Intern</t>
  </si>
  <si>
    <t>Berlin, Germany</t>
  </si>
  <si>
    <t>https://www.linkedin.com/in/alberto-holler-72a950199/</t>
  </si>
  <si>
    <t>Group M&amp;A Analyst</t>
  </si>
  <si>
    <t>Financial Advisory - Analyst</t>
  </si>
  <si>
    <t>Innocenzo Ciavoliello</t>
  </si>
  <si>
    <t>https://www.linkedin.com/in/innocenzo-ciavoliello-537780103/</t>
  </si>
  <si>
    <t>Irina Croitor</t>
  </si>
  <si>
    <t>Finance Transformations Project Manager</t>
  </si>
  <si>
    <t>EMEA FMP</t>
  </si>
  <si>
    <t>Isabella Masetto</t>
  </si>
  <si>
    <t>Bruxelles, Belgium</t>
  </si>
  <si>
    <t>Isacco Bertè</t>
  </si>
  <si>
    <t>+39 346 833712</t>
  </si>
  <si>
    <t>PayPlug</t>
  </si>
  <si>
    <t>Sales Development Representative</t>
  </si>
  <si>
    <t>Paris, France</t>
  </si>
  <si>
    <t>HR Director</t>
  </si>
  <si>
    <t>Zurich, Switzerland</t>
  </si>
  <si>
    <t>Ivan Rossi</t>
  </si>
  <si>
    <t>Global Transaction Banking, Business Development | Vice President</t>
  </si>
  <si>
    <t>Jacopo Arnaboldi</t>
  </si>
  <si>
    <t>+39 333 9512867</t>
  </si>
  <si>
    <t>Salary Partner,  Associate, Secondee</t>
  </si>
  <si>
    <t>Nokia Siemens Networks S.p.Q.</t>
  </si>
  <si>
    <t>Secondee</t>
  </si>
  <si>
    <t>Jacopo Bugini</t>
  </si>
  <si>
    <t>Product Manager, Portfolio Risk Analyst, Process &amp; Performance Junior Analyst</t>
  </si>
  <si>
    <t>The Future Makers 2021</t>
  </si>
  <si>
    <t>Jacopo Dall'Armellina</t>
  </si>
  <si>
    <t>+39 349 87693</t>
  </si>
  <si>
    <t>Investment Banking Origination Small Mid Cap, M&amp;A Execution</t>
  </si>
  <si>
    <t>Mediobanca</t>
  </si>
  <si>
    <t>M&amp;A Execution</t>
  </si>
  <si>
    <t>Jacopo Garino</t>
  </si>
  <si>
    <t>https://www.linkedin.com/in/jacopo-garino/details/experience/</t>
  </si>
  <si>
    <t>Marketing Manager, Android</t>
  </si>
  <si>
    <t>Growth Marketing Manager</t>
  </si>
  <si>
    <t>Jerónimo Fuentes</t>
  </si>
  <si>
    <t>Intern full time</t>
  </si>
  <si>
    <t>Summer Financial Analyst - Restructuring</t>
  </si>
  <si>
    <t>Jiacheng David Shi</t>
  </si>
  <si>
    <t>david.shi@jeme.it</t>
  </si>
  <si>
    <t>+39 327 818648</t>
  </si>
  <si>
    <t>Kepler Cheuvreux</t>
  </si>
  <si>
    <t>Financial Engineer Assistant (stage)</t>
  </si>
  <si>
    <t>Nyon, Vaud, Switzerland</t>
  </si>
  <si>
    <t>ACG Group</t>
  </si>
  <si>
    <t>Portfolio Analyst</t>
  </si>
  <si>
    <t>Lugano, Switzerland</t>
  </si>
  <si>
    <t>John Collins</t>
  </si>
  <si>
    <t>John O'Coileain</t>
  </si>
  <si>
    <t>John@collinsadvisor.com</t>
  </si>
  <si>
    <t>Kania Agnieszka</t>
  </si>
  <si>
    <t>https://www.linkedin.com/in/agnieszkadariakania/</t>
  </si>
  <si>
    <t>Poznań, Poland</t>
  </si>
  <si>
    <t>Kraków Area, Poland</t>
  </si>
  <si>
    <t>Karan Kumar Arya</t>
  </si>
  <si>
    <t>Venture Building and Advisory</t>
  </si>
  <si>
    <t>Associate - M&amp;A and Corporate Finance, M&amp;A and Corporate Finance Executive - FIG, Audit &amp; Transaction Services - Financial Services</t>
  </si>
  <si>
    <t>Katia Benvegnù</t>
  </si>
  <si>
    <t>Senior product manager</t>
  </si>
  <si>
    <t>Deutsche Bank Sim</t>
  </si>
  <si>
    <t>Equity Sales</t>
  </si>
  <si>
    <t>12/1/1094</t>
  </si>
  <si>
    <t>Lapo Bruna</t>
  </si>
  <si>
    <t>Colorpoint Srl</t>
  </si>
  <si>
    <t>Apprentice</t>
  </si>
  <si>
    <t>Alba, Italy</t>
  </si>
  <si>
    <t>Lara Grosso</t>
  </si>
  <si>
    <t>Project Management Officer</t>
  </si>
  <si>
    <t>Geneva, Switzerland</t>
  </si>
  <si>
    <t>Clinton Health Access Initiative, Inc.</t>
  </si>
  <si>
    <t>Regional Manager, Southern Africa, Advanced HIV Disease, Senior Associate, Advanced HIV Disease, Associate, Hepatitis</t>
  </si>
  <si>
    <t>Lara Verona</t>
  </si>
  <si>
    <t>+39 339 521378</t>
  </si>
  <si>
    <t>Foodservice Performance Manager, Financial Controller and Investment review Manager</t>
  </si>
  <si>
    <t>Paris Area, France</t>
  </si>
  <si>
    <t>Financial Planning &amp; Analysis Manager for Northern Europe Region</t>
  </si>
  <si>
    <t>Laura Ambrosino</t>
  </si>
  <si>
    <t>Laura Artana</t>
  </si>
  <si>
    <t>+39 387 15546</t>
  </si>
  <si>
    <t>Fiscal and Accounting Consultant</t>
  </si>
  <si>
    <t>Brand Manger</t>
  </si>
  <si>
    <t>Laura Comunello</t>
  </si>
  <si>
    <t>+39 348 8841554</t>
  </si>
  <si>
    <t>Talent Acquisition Manager - Consulting - MED Region</t>
  </si>
  <si>
    <t>Senior Consultant - Digital &amp; New Media</t>
  </si>
  <si>
    <t>Laura Santa Maria</t>
  </si>
  <si>
    <t>ISutti gioielli</t>
  </si>
  <si>
    <t>Monza, Italy</t>
  </si>
  <si>
    <t>Serafino Consoli spa</t>
  </si>
  <si>
    <t>Senior Trade Marketing Manager</t>
  </si>
  <si>
    <t>Lee Casonato</t>
  </si>
  <si>
    <t>+39 333 4151</t>
  </si>
  <si>
    <t>Organizzazione</t>
  </si>
  <si>
    <t>Leonardo D'Achille</t>
  </si>
  <si>
    <t>+39 393 742142</t>
  </si>
  <si>
    <t>Leonardo Fabbro</t>
  </si>
  <si>
    <t>F.I.S.A. Fabbrica Italiana Sedili Autoferroviari S.r.l.</t>
  </si>
  <si>
    <t>Purchasing Officer</t>
  </si>
  <si>
    <t>Audit Analyst - GFSI</t>
  </si>
  <si>
    <t>Letizia Marzi</t>
  </si>
  <si>
    <t>Mastercard</t>
  </si>
  <si>
    <t>Strategy Consultant</t>
  </si>
  <si>
    <t>Consultant, Consultant</t>
  </si>
  <si>
    <t>Lidia Durbiano</t>
  </si>
  <si>
    <t xml:space="preserve">DURBIANO S.R.L. </t>
  </si>
  <si>
    <t>Board member</t>
  </si>
  <si>
    <t>Livio Berti</t>
  </si>
  <si>
    <t>Liviorafberti@gmail.com</t>
  </si>
  <si>
    <t>AMCO - Asset Management Company</t>
  </si>
  <si>
    <t>Investment Analyst, Investment Analyst Intern</t>
  </si>
  <si>
    <t>Corporate Investment Banking Intern</t>
  </si>
  <si>
    <t>Lorenza Franchetti</t>
  </si>
  <si>
    <t>LF Business &amp; People Development Solutions</t>
  </si>
  <si>
    <t>Lorenzo Barbati</t>
  </si>
  <si>
    <t>+39 333 6714119</t>
  </si>
  <si>
    <t>Pro Solutti</t>
  </si>
  <si>
    <t>São Paulo, Brasil</t>
  </si>
  <si>
    <t>Senior Manager Ecommerce Operations</t>
  </si>
  <si>
    <t>Lorenzo Castellano</t>
  </si>
  <si>
    <t>Quantico Advisory Srl</t>
  </si>
  <si>
    <t>Athena Consulting SA - Managing Director of Athena Private Equity SA</t>
  </si>
  <si>
    <t>Investment Principal</t>
  </si>
  <si>
    <t>Lorenzo Logi</t>
  </si>
  <si>
    <t>Self-employed</t>
  </si>
  <si>
    <t>Managing own portfolio</t>
  </si>
  <si>
    <t>Trader, trader</t>
  </si>
  <si>
    <t>1/1/1092</t>
  </si>
  <si>
    <t>Lorenzo Pippo</t>
  </si>
  <si>
    <t>+39 345175285</t>
  </si>
  <si>
    <t>Startupbootcamp FashionTech</t>
  </si>
  <si>
    <t>CEO Shadowing Program</t>
  </si>
  <si>
    <t>3/172021</t>
  </si>
  <si>
    <t>Looped</t>
  </si>
  <si>
    <t>Lorenzo Podestà</t>
  </si>
  <si>
    <t>SUNNERGY GROUP S.p.A.</t>
  </si>
  <si>
    <t>Founder, Owner &amp; CEO</t>
  </si>
  <si>
    <t>Vice Presidente del CdA</t>
  </si>
  <si>
    <t>9/1/1094</t>
  </si>
  <si>
    <t>Lorenzo Zanotti</t>
  </si>
  <si>
    <t>+39 328 4491624</t>
  </si>
  <si>
    <t>PwC Italy</t>
  </si>
  <si>
    <t>Senior manager, Manager</t>
  </si>
  <si>
    <t>Laward - Avvocati Associati</t>
  </si>
  <si>
    <t>Loretta Sattin</t>
  </si>
  <si>
    <t>dottore commercialista</t>
  </si>
  <si>
    <t>Padova, Italia</t>
  </si>
  <si>
    <t>Luca Adorni</t>
  </si>
  <si>
    <t>luca.adorni@jeme.it</t>
  </si>
  <si>
    <t>Research Professional</t>
  </si>
  <si>
    <t>Casavo · Internship</t>
  </si>
  <si>
    <t>Business Intelligence Intern</t>
  </si>
  <si>
    <t>Luca Capuano</t>
  </si>
  <si>
    <t>Investment Manager</t>
  </si>
  <si>
    <t>Luca Casartelli</t>
  </si>
  <si>
    <t>In charge of Organization Department for Sales, Marketing and Innovation functions</t>
  </si>
  <si>
    <t>In charge of procedures and processes for AXA Life and Saving Distribution Program</t>
  </si>
  <si>
    <t>Luca Feller</t>
  </si>
  <si>
    <t>VP - Lending &amp; Advisory - Operational Excellence - Digital and Analytics, Program Manager - Structured Lending ICT Architecture</t>
  </si>
  <si>
    <t>Consultant - Risk Managment</t>
  </si>
  <si>
    <t>Luca Genini</t>
  </si>
  <si>
    <t>Responsabile servizi finanziari e assicurativi, Responsabile Risorse Umane</t>
  </si>
  <si>
    <t>Consigliere Delegato Area Servizi</t>
  </si>
  <si>
    <t>Luca Martinetti Osculati</t>
  </si>
  <si>
    <t>Luca Miglioranzi</t>
  </si>
  <si>
    <t>lmiglioranzi@mmm.com</t>
  </si>
  <si>
    <t>miglioluca@tiscali.it</t>
  </si>
  <si>
    <t>+39 349 657151</t>
  </si>
  <si>
    <t>Zwilling Ballarini Italia srl</t>
  </si>
  <si>
    <t>Co Managing Director</t>
  </si>
  <si>
    <t>Zwilling J.A. Henckels Italia s.r.l.</t>
  </si>
  <si>
    <t>Luca Venturelli</t>
  </si>
  <si>
    <t xml:space="preserve"> </t>
  </si>
  <si>
    <t>Lincoln International</t>
  </si>
  <si>
    <t>Frankfurt, Hesse, Germany</t>
  </si>
  <si>
    <t xml:space="preserve">Private Equity Intern </t>
  </si>
  <si>
    <t>Lucio De Natale</t>
  </si>
  <si>
    <t>aggiungere manualmente</t>
  </si>
  <si>
    <t>Ludovica D'Emilia</t>
  </si>
  <si>
    <t>+39 333 796539</t>
  </si>
  <si>
    <t>Senior Associate, Associate, Consultant, Business Analyst</t>
  </si>
  <si>
    <t>Ludovico Denza</t>
  </si>
  <si>
    <t>+39 328 85329</t>
  </si>
  <si>
    <t>AURELIUS GROUP</t>
  </si>
  <si>
    <t>Managing Director - Italy country head</t>
  </si>
  <si>
    <t>Senior Director - Perfomance Improvement</t>
  </si>
  <si>
    <t>Luigi Armeli</t>
  </si>
  <si>
    <t>Luisa Cefalà</t>
  </si>
  <si>
    <t>UC Berkeley</t>
  </si>
  <si>
    <t>PhD Student in Economics</t>
  </si>
  <si>
    <t>Berkeley, USA</t>
  </si>
  <si>
    <t>Northwestern University</t>
  </si>
  <si>
    <t>Evanston, USA</t>
  </si>
  <si>
    <t>Niccolò Lunari</t>
  </si>
  <si>
    <t>https://www.linkedin.com/in/niccol%C3%B2-l-86460294/</t>
  </si>
  <si>
    <t>Finance Business Development Manager</t>
  </si>
  <si>
    <t>Control-Hero</t>
  </si>
  <si>
    <t>Marcella Amata</t>
  </si>
  <si>
    <t>Marco Barbieri</t>
  </si>
  <si>
    <t>Country Sales Manager Poland, Head of Marketing Eastern Europe, Marketing Manager Eastern Europe, Switzerland &amp; Greece</t>
  </si>
  <si>
    <t>Trade Marketing Manager, Key Account Manager, Trade Marketing Specialist, Corporate Trade Marketing Intern</t>
  </si>
  <si>
    <t>Rome, Italy</t>
  </si>
  <si>
    <t>Marco Barindelli</t>
  </si>
  <si>
    <t>Head of Italy, Ticino, Malta, Greece &amp; Cyprus, Head of Italy, Ticino, Malta, Greece &amp; Cyprus</t>
  </si>
  <si>
    <t>Deputy Country Head, Asset Management - Head of Intermediary</t>
  </si>
  <si>
    <t>Marco Berrinzoni</t>
  </si>
  <si>
    <t>+39 339 72236</t>
  </si>
  <si>
    <t>Head of Finance BP Operations, BP Costs and Cost Management</t>
  </si>
  <si>
    <t>Acqua di Parma Controlling Manager</t>
  </si>
  <si>
    <t>Marco Deri</t>
  </si>
  <si>
    <t>+39 349 4381377</t>
  </si>
  <si>
    <t>Luxembourg, Luxembourg</t>
  </si>
  <si>
    <t>ELAVITY</t>
  </si>
  <si>
    <t>Venture Associate</t>
  </si>
  <si>
    <t>Oxford, England, United Kingdom</t>
  </si>
  <si>
    <t>Marco Felici</t>
  </si>
  <si>
    <t>Graduate Programme Participant</t>
  </si>
  <si>
    <t>Francoforte sul Meno, Assia, Germania</t>
  </si>
  <si>
    <t>Research Assistant, Unestablished Teaching Associate</t>
  </si>
  <si>
    <t>Marco Fornier</t>
  </si>
  <si>
    <t>Dubai, United Arab Emirates</t>
  </si>
  <si>
    <t>Intelexvision</t>
  </si>
  <si>
    <t>Sales Director MENA</t>
  </si>
  <si>
    <t>Marco Galimberti</t>
  </si>
  <si>
    <t>marco.galimberti@jeme.it</t>
  </si>
  <si>
    <t>+39 366 2455285</t>
  </si>
  <si>
    <t>Investment Banking Off-Cycle Analyst</t>
  </si>
  <si>
    <t>Marco Maria Baldassari </t>
  </si>
  <si>
    <t>Finance Manager</t>
  </si>
  <si>
    <t>Summer Analyst</t>
  </si>
  <si>
    <t>Marco Marzetti</t>
  </si>
  <si>
    <t>+39 328 38473</t>
  </si>
  <si>
    <t>Head of Strategy and Finance</t>
  </si>
  <si>
    <t>Slough, England, United Kingdom</t>
  </si>
  <si>
    <t>Dyson Schweiz</t>
  </si>
  <si>
    <t>Head Of Finance</t>
  </si>
  <si>
    <t>Zürich Area, Switzerland</t>
  </si>
  <si>
    <t>Marco Mastrangelo</t>
  </si>
  <si>
    <t>+39 346 7797564</t>
  </si>
  <si>
    <t>Associate Consultant, Associate Consultant Intern</t>
  </si>
  <si>
    <t>Marco Palacino</t>
  </si>
  <si>
    <t>Debord Technologies</t>
  </si>
  <si>
    <t>Founder &amp; CEO</t>
  </si>
  <si>
    <t>ORIZZONTE LAB Srl - Società di Credit Management</t>
  </si>
  <si>
    <t>Marco Rossetti</t>
  </si>
  <si>
    <t>Crystal System</t>
  </si>
  <si>
    <t>Head of Crystal HR Solutions</t>
  </si>
  <si>
    <t>Bucharest, Romania</t>
  </si>
  <si>
    <t>Loginterim Group</t>
  </si>
  <si>
    <t>Founder and Manager</t>
  </si>
  <si>
    <t>Marco Sormani</t>
  </si>
  <si>
    <t>marcosormani@hotmail.com</t>
  </si>
  <si>
    <t>VARENNE CAPITAL PARTNERS</t>
  </si>
  <si>
    <t>CORPORATE VALUE ASSOCIATES</t>
  </si>
  <si>
    <t>MANAGER</t>
  </si>
  <si>
    <t>1/1/1095</t>
  </si>
  <si>
    <t>1/1/101</t>
  </si>
  <si>
    <t>Marco Torrente</t>
  </si>
  <si>
    <t>+39 347 7194669</t>
  </si>
  <si>
    <t>WebBeds</t>
  </si>
  <si>
    <t>Global Chief Financial Officer, Chief Financial Officer, Europe</t>
  </si>
  <si>
    <t>Finance Director EMEA</t>
  </si>
  <si>
    <t>Marco Toschi</t>
  </si>
  <si>
    <t>Head of Sales Acquisition - Mercado Pago, Head of Engagement - Mercado Pago</t>
  </si>
  <si>
    <t>Avianca</t>
  </si>
  <si>
    <t>Head of Direct Sales &amp; Commercial Analysis - Colombia</t>
  </si>
  <si>
    <t>Bogotá D.C. Area, Colombia</t>
  </si>
  <si>
    <t>Marco Zannini</t>
  </si>
  <si>
    <t>+39 328 9451185</t>
  </si>
  <si>
    <t>SALVI MAR S.R.L.</t>
  </si>
  <si>
    <t>Direttore commerciale</t>
  </si>
  <si>
    <t>Casarza Ligure, Liguria, Italia</t>
  </si>
  <si>
    <t>Energy Solution srl</t>
  </si>
  <si>
    <t>Sales &amp; export manager</t>
  </si>
  <si>
    <t>Maria Chiara Casartelli</t>
  </si>
  <si>
    <t>Head of Sales and Marketing Controlling, Strategic initiatives senior controller</t>
  </si>
  <si>
    <t>VF Corporation</t>
  </si>
  <si>
    <t>Sourcing Costing Manager O&amp;AS, Senior Business Analyst The North Face and Smartwool</t>
  </si>
  <si>
    <t>Maria Elena Manica</t>
  </si>
  <si>
    <t>+39 333 2519958</t>
  </si>
  <si>
    <t>Senior Manager, Strategy &amp; Excellence, Manager, Strategy &amp; Excellence</t>
  </si>
  <si>
    <t xml:space="preserve">Case Manager </t>
  </si>
  <si>
    <t>Maria Rosa Zappalà</t>
  </si>
  <si>
    <t>Member Board Of Directors</t>
  </si>
  <si>
    <t>Senior Legal</t>
  </si>
  <si>
    <t>Maria Sofia Gazzotti</t>
  </si>
  <si>
    <t>Vice President Brand Partnerships, Head of Strategy &amp; Finance</t>
  </si>
  <si>
    <t>New York City Metropolitan Area</t>
  </si>
  <si>
    <t>Maria Vittoria Gagliardi</t>
  </si>
  <si>
    <t>Business Developer, IT Service Manager Consultant</t>
  </si>
  <si>
    <t>Research Intern</t>
  </si>
  <si>
    <t>Mariaelena Manica</t>
  </si>
  <si>
    <t>Mariaelena</t>
  </si>
  <si>
    <t>https://www.linkedin.com/in/mariaelenamanica/</t>
  </si>
  <si>
    <t>Case Manager</t>
  </si>
  <si>
    <t>Marian Maluta</t>
  </si>
  <si>
    <t>EMEA and LATAM - Region Finance Separation Lead</t>
  </si>
  <si>
    <t>EMEA and LATAM - Region Finance Separation Lead for Consumer Healthcare, EMEA - Region Finance Separation Lead for Consumer Healthcare, EMEA Finance Integration Manager at GSK, Business Controlling Manager Southern Europe</t>
  </si>
  <si>
    <t>Marianna Caccavaio</t>
  </si>
  <si>
    <t>Economist</t>
  </si>
  <si>
    <t>Financial Stability Expert</t>
  </si>
  <si>
    <t>Frankfurt am Main, Germany</t>
  </si>
  <si>
    <t>Marina Figoli</t>
  </si>
  <si>
    <t>marina.figoli@unicredit.eu</t>
  </si>
  <si>
    <t>Head of Global Real Estate ESG Innovation Projects and Monitoring, Head of Branch Equipment &amp; Logistics, Head of Branch Network Evolution, Global Marketing Individuals</t>
  </si>
  <si>
    <t>Unicredit Consumer Financing Bank</t>
  </si>
  <si>
    <t>Head of International Business Development &amp; New Projects, Head of Organization Develpment, CEO Staff, Consumer Finance Newco Start Up</t>
  </si>
  <si>
    <t>Mario Belloni Peressutti</t>
  </si>
  <si>
    <t>+39 347 7379725</t>
  </si>
  <si>
    <t>Internship Trainee</t>
  </si>
  <si>
    <t>President, Secretary General, Associate Consultant</t>
  </si>
  <si>
    <t>Mario Fera</t>
  </si>
  <si>
    <t>CEO Office</t>
  </si>
  <si>
    <t>Bergamo Area, Italy</t>
  </si>
  <si>
    <t>Mario Lattari</t>
  </si>
  <si>
    <t>Mario Pepe</t>
  </si>
  <si>
    <t>mario.pepe@jeme.it</t>
  </si>
  <si>
    <t>pepe.mario@outlook.it</t>
  </si>
  <si>
    <t>Software Engineer</t>
  </si>
  <si>
    <t>Qualtrics</t>
  </si>
  <si>
    <t>Product Specialist</t>
  </si>
  <si>
    <t>Dublin City, County Dublin, Ireland</t>
  </si>
  <si>
    <t>Marisa Scaffidi</t>
  </si>
  <si>
    <t>+39 316 8625969</t>
  </si>
  <si>
    <t>Business Manager WeScan, Business Manager Education Services for Germany, Global Business Development Manager for Education Services, Trainee - Siemens Graduate Program</t>
  </si>
  <si>
    <t>apr 2021 - Presente · 1 anno 7 mesi</t>
  </si>
  <si>
    <t>Heineken</t>
  </si>
  <si>
    <t>Intern Direct Sales Department</t>
  </si>
  <si>
    <t>Äthiopien</t>
  </si>
  <si>
    <t>Marta Frattini</t>
  </si>
  <si>
    <t>+39 349 1547747</t>
  </si>
  <si>
    <t>Gap</t>
  </si>
  <si>
    <t>Sr Director, CRM</t>
  </si>
  <si>
    <t>Sr Director, CRM &amp; Loyalty, Director, CRM, CRM Manager</t>
  </si>
  <si>
    <t>Martin Grande</t>
  </si>
  <si>
    <t>Massimiliano D'Angelo</t>
  </si>
  <si>
    <t>Sr. Client Manager | Divisione Digital Technology</t>
  </si>
  <si>
    <t>Digital Solutions Director</t>
  </si>
  <si>
    <t>Massimiliano Grimandi</t>
  </si>
  <si>
    <t>Praga</t>
  </si>
  <si>
    <t>AVG.it</t>
  </si>
  <si>
    <t>Sales &amp; Marketing Manager</t>
  </si>
  <si>
    <t>Massimiliano Nova</t>
  </si>
  <si>
    <t>Wepartner SpA</t>
  </si>
  <si>
    <t>Co-Founder Partner</t>
  </si>
  <si>
    <t>Allianz Italia</t>
  </si>
  <si>
    <t>Presidente del Collegio Sindacale</t>
  </si>
  <si>
    <t>Massimo Galoppo</t>
  </si>
  <si>
    <t>Massimo Piacentini</t>
  </si>
  <si>
    <t>Head of Customer Finance &amp; BU CFO, Business Finance Manager, Business Controller, Project Financial Controller</t>
  </si>
  <si>
    <t>Sales Operations Professional, Junior FP&amp;A and Business Management Analyst</t>
  </si>
  <si>
    <t>Massimo Puccio</t>
  </si>
  <si>
    <t xml:space="preserve">Bomaki </t>
  </si>
  <si>
    <t>Matteo Aldo Corbetta</t>
  </si>
  <si>
    <t>OTTO WALTER International</t>
  </si>
  <si>
    <t>Business Unit Director, Top Senior Consultant and Executive Coach</t>
  </si>
  <si>
    <t>Altran</t>
  </si>
  <si>
    <t>diversi</t>
  </si>
  <si>
    <t>Matteo Balbo</t>
  </si>
  <si>
    <t>+39 335 847494</t>
  </si>
  <si>
    <t>ALLARA S.p.A.</t>
  </si>
  <si>
    <t>Project Manager, Business Developer, Credit Manager, Controller</t>
  </si>
  <si>
    <t>Direzione Commerciale</t>
  </si>
  <si>
    <t>Matteo Barchiesi</t>
  </si>
  <si>
    <t>Blackstone Credit</t>
  </si>
  <si>
    <t>Matteo Blasioli</t>
  </si>
  <si>
    <t>Matteo Cattadori</t>
  </si>
  <si>
    <t>startup_pack</t>
  </si>
  <si>
    <t>Startup Mentor</t>
  </si>
  <si>
    <t>Matteo Corsi</t>
  </si>
  <si>
    <t>matteo.corsi@jeme.it</t>
  </si>
  <si>
    <t>+39 349 72295</t>
  </si>
  <si>
    <t>Associate, Analyst</t>
  </si>
  <si>
    <t>Payments</t>
  </si>
  <si>
    <t>Berlin Area, Germany</t>
  </si>
  <si>
    <t>Matteo Crippa</t>
  </si>
  <si>
    <t>teocrippa199@gmail.com</t>
  </si>
  <si>
    <t>Senior manager, Manager | Deals Strategy &amp; Operations, Senior associate | Deals strategy &amp; operations</t>
  </si>
  <si>
    <t>Senior consultant</t>
  </si>
  <si>
    <t>Matteo Fenaroli</t>
  </si>
  <si>
    <t>matteo.fenaroli@innext.it</t>
  </si>
  <si>
    <t>Matteo.fenaroli@innext.com</t>
  </si>
  <si>
    <t>+39 348 295182</t>
  </si>
  <si>
    <t xml:space="preserve">Founder &amp; Partner </t>
  </si>
  <si>
    <t>Co-Founder &amp; Partner</t>
  </si>
  <si>
    <t>Matteo Ferdani</t>
  </si>
  <si>
    <t>+44 737 9269987</t>
  </si>
  <si>
    <t>Clayton Dubilier &amp; Rice</t>
  </si>
  <si>
    <t>Investment Banking Associate, Investment Banking Analyst</t>
  </si>
  <si>
    <t>Matteo Fini</t>
  </si>
  <si>
    <t>+39 334 1631965</t>
  </si>
  <si>
    <t>BNL Gruppo BNP Paribas</t>
  </si>
  <si>
    <t>Senior Advisory Partner</t>
  </si>
  <si>
    <t>Matteo Garosio</t>
  </si>
  <si>
    <t>m.garosio@tin.it</t>
  </si>
  <si>
    <t>m_garosio@virgilio.it</t>
  </si>
  <si>
    <t>+39 339 7555571</t>
  </si>
  <si>
    <t>HERMAN SPA</t>
  </si>
  <si>
    <t>Amministratore Unico, Presidente del Consiglio di Amministrazione, Amministratore Delegato</t>
  </si>
  <si>
    <t>PNGROUP</t>
  </si>
  <si>
    <t>Co-Fondatore Holding</t>
  </si>
  <si>
    <t>Brescia, Lombardia, Italia</t>
  </si>
  <si>
    <t>Matteo Meroni</t>
  </si>
  <si>
    <t>matteo.meroni@megaitaliamedia.it</t>
  </si>
  <si>
    <t>Matteo Nichil</t>
  </si>
  <si>
    <t>+39 346 6354349</t>
  </si>
  <si>
    <t>Principal</t>
  </si>
  <si>
    <t>Associate - EMEA M&amp;A</t>
  </si>
  <si>
    <t>Matteo Pallini</t>
  </si>
  <si>
    <t>Machine Learning Engineer</t>
  </si>
  <si>
    <t>Matteo Pirota</t>
  </si>
  <si>
    <t>Matteo Puglisi</t>
  </si>
  <si>
    <t>global</t>
  </si>
  <si>
    <t xml:space="preserve">MP MANAGEMENT </t>
  </si>
  <si>
    <t>Worldwide CEO</t>
  </si>
  <si>
    <t>Global</t>
  </si>
  <si>
    <t>Matteo Richiardi</t>
  </si>
  <si>
    <t>+39 338 742714</t>
  </si>
  <si>
    <t>Enterprise Account Executive</t>
  </si>
  <si>
    <t>Sales Manager, Business Development Director, Business Development Manager</t>
  </si>
  <si>
    <t>Matteo Rusciadelli</t>
  </si>
  <si>
    <t>Gruppo Cassa depositi e prestiti</t>
  </si>
  <si>
    <t>Head of Corporate Coverage - Central &amp; Southern Italy</t>
  </si>
  <si>
    <t>Good Banks. NBM Spa</t>
  </si>
  <si>
    <t xml:space="preserve">Head of Corporate </t>
  </si>
  <si>
    <t>Mattia Rodriquez</t>
  </si>
  <si>
    <t>Principal, Project Leader, Consultant, Associate, Visiting Associate</t>
  </si>
  <si>
    <t>The Boston Consulting Group</t>
  </si>
  <si>
    <t>Mattia Salvioni</t>
  </si>
  <si>
    <t>+39 333 688547</t>
  </si>
  <si>
    <t>Manager - Business Transformation Retail Automotive &amp; Mobility Team, Senior Consultant - Business Transformation Retail, Automotive &amp; Mobility Team, Consultant - Business Transformation Retail, Automotive &amp; Mobility Team, Intern | Technology</t>
  </si>
  <si>
    <t>H-FARM</t>
  </si>
  <si>
    <t>Summer Internship</t>
  </si>
  <si>
    <t>Nicola Mauri</t>
  </si>
  <si>
    <t>Chief Investment Officer</t>
  </si>
  <si>
    <t>Mauricio Comi</t>
  </si>
  <si>
    <t>dutchie</t>
  </si>
  <si>
    <t>Head of Insurance &amp; Business Development</t>
  </si>
  <si>
    <t>San Francisco Bay Area</t>
  </si>
  <si>
    <t>Intuit Insurance Services Inc (DBA Quickbooks Insurance)</t>
  </si>
  <si>
    <t>President and CEO</t>
  </si>
  <si>
    <t>Maurizio Esentato</t>
  </si>
  <si>
    <t>Classis Capital SIM</t>
  </si>
  <si>
    <t>Founding Partner &amp; CEO</t>
  </si>
  <si>
    <t>BRAIN &amp; CO</t>
  </si>
  <si>
    <t>Maurizio Grosso</t>
  </si>
  <si>
    <t>https://www.linkedin.com/in/maurizio-grosso-64672515a/</t>
  </si>
  <si>
    <t>Studio Grosso Dutto</t>
  </si>
  <si>
    <t>1/1/1088</t>
  </si>
  <si>
    <t>Organismo Italiano di Valutazione</t>
  </si>
  <si>
    <t>Membro indipendente designato del Consiglio di Gestione dell’Organismo Italiano di Valutazione (OIV)</t>
  </si>
  <si>
    <t>Maurizio Virtuani</t>
  </si>
  <si>
    <t>Responsabile Amministrazione Finanza e Controllo</t>
  </si>
  <si>
    <t>Maxim Moncalvo</t>
  </si>
  <si>
    <t>Global Pricing and Portfolio Manager, Revenue Growth Manager Southern Europe, Middle East, Turkey, Africa (SEMEA)</t>
  </si>
  <si>
    <t>Kimberly-Clark</t>
  </si>
  <si>
    <t>Revenue Growth Management (RGM) Lead</t>
  </si>
  <si>
    <t>Turin, Piedmont, Italy</t>
  </si>
  <si>
    <t>Melissa Rosenberg</t>
  </si>
  <si>
    <t>Superprof</t>
  </si>
  <si>
    <t>Tutor</t>
  </si>
  <si>
    <t>Consulting &amp; Analytics (VCA) Summer Intern</t>
  </si>
  <si>
    <t>Paris et périphérie</t>
  </si>
  <si>
    <t>Michela Oneto</t>
  </si>
  <si>
    <t>+39 342 836232</t>
  </si>
  <si>
    <t>Associate Consultant Intern</t>
  </si>
  <si>
    <t>Michelangelo Mantero</t>
  </si>
  <si>
    <t xml:space="preserve">Michelangelo </t>
  </si>
  <si>
    <t>https://www.linkedin.com/in/michelangelo-mantero-6231b5</t>
  </si>
  <si>
    <t xml:space="preserve">Xenon Private Equity </t>
  </si>
  <si>
    <t>ITA-Verona</t>
  </si>
  <si>
    <t>ITA-Milano</t>
  </si>
  <si>
    <t>Michelangelo Oneto</t>
  </si>
  <si>
    <t>https://www.linkedin.com/in/michela-oneto-181a261a/</t>
  </si>
  <si>
    <t>Michele Bandini</t>
  </si>
  <si>
    <t xml:space="preserve">Michele </t>
  </si>
  <si>
    <t>GBR-London</t>
  </si>
  <si>
    <t>Associato</t>
  </si>
  <si>
    <t>06/22/2011</t>
  </si>
  <si>
    <t>Michele Biancolin</t>
  </si>
  <si>
    <t>+39 349 31428</t>
  </si>
  <si>
    <t>Natixis CIB Americas</t>
  </si>
  <si>
    <t>USA-New York</t>
  </si>
  <si>
    <t>08/13/2011</t>
  </si>
  <si>
    <t>Michele Contrini</t>
  </si>
  <si>
    <t>Director of Business Development</t>
  </si>
  <si>
    <t>ITA-Torino</t>
  </si>
  <si>
    <t>FeshionUP</t>
  </si>
  <si>
    <t>Member of Board of Director</t>
  </si>
  <si>
    <t>ROU-Romania</t>
  </si>
  <si>
    <t>Michele Ferrario</t>
  </si>
  <si>
    <t>StashAway</t>
  </si>
  <si>
    <t>SGP-Singapore</t>
  </si>
  <si>
    <t>Investor</t>
  </si>
  <si>
    <t>USA-Los Angeles</t>
  </si>
  <si>
    <t>Michele Gismondi</t>
  </si>
  <si>
    <t>Sherwin-Williams</t>
  </si>
  <si>
    <t>Finance Director</t>
  </si>
  <si>
    <t>ITA-Bologna</t>
  </si>
  <si>
    <t>Michele Lattuada</t>
  </si>
  <si>
    <t>michelelattuada@hotmail.com</t>
  </si>
  <si>
    <t>+39 347 762629</t>
  </si>
  <si>
    <t>Regional Business Manager</t>
  </si>
  <si>
    <t>National Business Unit Manager Pediatrics</t>
  </si>
  <si>
    <t>Michele Mezzarobba</t>
  </si>
  <si>
    <t>+33 153 77651</t>
  </si>
  <si>
    <t>MIRCAP Partners</t>
  </si>
  <si>
    <t>Independent Advisor</t>
  </si>
  <si>
    <t>FRA-Paris</t>
  </si>
  <si>
    <t>Michele Onorati</t>
  </si>
  <si>
    <t xml:space="preserve">Lazard </t>
  </si>
  <si>
    <t>Trade Marketing Coordinator</t>
  </si>
  <si>
    <t>ITA-Roma</t>
  </si>
  <si>
    <t>Michele Pesce</t>
  </si>
  <si>
    <t>+39 335 5244653</t>
  </si>
  <si>
    <t>https://www.linkedin.com/in/michelepesce</t>
  </si>
  <si>
    <t xml:space="preserve">JAKALA </t>
  </si>
  <si>
    <t>Vice President, Strategy &amp; Analytics</t>
  </si>
  <si>
    <t>Sr. Director Market Intelligence &amp; eStrategy</t>
  </si>
  <si>
    <t>05/31/1911</t>
  </si>
  <si>
    <t>Michele Tarawneh</t>
  </si>
  <si>
    <t>https://www.linkedin.com/in/michele-t-2a51a952</t>
  </si>
  <si>
    <t>Board Observer</t>
  </si>
  <si>
    <t>USA-Seattle</t>
  </si>
  <si>
    <t>EQT Partners/EQT AB</t>
  </si>
  <si>
    <t>Mirko Comerlati</t>
  </si>
  <si>
    <t xml:space="preserve">Mirko </t>
  </si>
  <si>
    <t>+39 347 2193778</t>
  </si>
  <si>
    <t>Junior Enterprises Italy</t>
  </si>
  <si>
    <t>Monica Fossati</t>
  </si>
  <si>
    <t xml:space="preserve">Monica </t>
  </si>
  <si>
    <t>BANCA POPOLARE DI LODI</t>
  </si>
  <si>
    <t>Ufficio Bilancio</t>
  </si>
  <si>
    <t>Moriz Martiner</t>
  </si>
  <si>
    <t xml:space="preserve">Moriz </t>
  </si>
  <si>
    <t>Nadia Neytcheva</t>
  </si>
  <si>
    <t xml:space="preserve">Nadia </t>
  </si>
  <si>
    <t>+39 347 789399</t>
  </si>
  <si>
    <t>Doctors in Italy | Doctorsa</t>
  </si>
  <si>
    <t>Co founder</t>
  </si>
  <si>
    <t>TraveDoc</t>
  </si>
  <si>
    <t>Directors International Development</t>
  </si>
  <si>
    <t>USA-Boston</t>
  </si>
  <si>
    <t>Natacha Minniti</t>
  </si>
  <si>
    <t xml:space="preserve">Natacha </t>
  </si>
  <si>
    <t>+39 338 7556471</t>
  </si>
  <si>
    <t>Head of Private Business Owners Group</t>
  </si>
  <si>
    <t>02/28/1901</t>
  </si>
  <si>
    <t xml:space="preserve">Niccolò </t>
  </si>
  <si>
    <t>https://www.linkedin.com/in/niccolò-lunari-8646294/</t>
  </si>
  <si>
    <t>Financial Controller</t>
  </si>
  <si>
    <t>ITA-Treviso</t>
  </si>
  <si>
    <t>Niccolò Massucci</t>
  </si>
  <si>
    <t>+39 338 686186</t>
  </si>
  <si>
    <t>JPN-Tokyo</t>
  </si>
  <si>
    <t xml:space="preserve">Nicola </t>
  </si>
  <si>
    <t>https://www.linkedin.com/in/nickmauri/</t>
  </si>
  <si>
    <t>Fondatore</t>
  </si>
  <si>
    <t>Coautore</t>
  </si>
  <si>
    <t>05/23/2011</t>
  </si>
  <si>
    <t>06/22/1911</t>
  </si>
  <si>
    <t>Nicola Sita</t>
  </si>
  <si>
    <t>https://www.linkedin.com/in/marco-felici-2631b495</t>
  </si>
  <si>
    <t>Inside Sales Intern</t>
  </si>
  <si>
    <t>IRL-Dublin</t>
  </si>
  <si>
    <t>Bold Immersion Program</t>
  </si>
  <si>
    <t>Nicolas Piccinelli</t>
  </si>
  <si>
    <t xml:space="preserve">Nicolas </t>
  </si>
  <si>
    <t>Program Manager</t>
  </si>
  <si>
    <t>MCO-Monaco</t>
  </si>
  <si>
    <t>Performance Manager</t>
  </si>
  <si>
    <t>03/13/1901</t>
  </si>
  <si>
    <t>Ozan Ocal</t>
  </si>
  <si>
    <t xml:space="preserve">Ozan </t>
  </si>
  <si>
    <t>Bocconi Students for Data Science</t>
  </si>
  <si>
    <t>Pablo Falanga</t>
  </si>
  <si>
    <t xml:space="preserve">Pablo </t>
  </si>
  <si>
    <t>Commercial Director</t>
  </si>
  <si>
    <t>03/14/1901</t>
  </si>
  <si>
    <t>Palma Petrosillo</t>
  </si>
  <si>
    <t xml:space="preserve">Palma </t>
  </si>
  <si>
    <t>nan</t>
  </si>
  <si>
    <t>Commercialista</t>
  </si>
  <si>
    <t>Pamela De Giovanni</t>
  </si>
  <si>
    <t xml:space="preserve">Pamela </t>
  </si>
  <si>
    <t>+39 339 1952748</t>
  </si>
  <si>
    <t>USA-Houston</t>
  </si>
  <si>
    <t>Financial Planning</t>
  </si>
  <si>
    <t>03/14/2001</t>
  </si>
  <si>
    <t>Paola Garavelli</t>
  </si>
  <si>
    <t xml:space="preserve">Paola </t>
  </si>
  <si>
    <t>https://www.linkedin.com/in/paola-garavelli-a2556b8</t>
  </si>
  <si>
    <t>Rappresentante per l'italia</t>
  </si>
  <si>
    <t>SALONI INTERNAZIONALI FRANCESI S.R.L.</t>
  </si>
  <si>
    <t>Comunicazione e Promozione</t>
  </si>
  <si>
    <t>Paola Giovannuzzi</t>
  </si>
  <si>
    <t>Lavoratore autonomo</t>
  </si>
  <si>
    <t>Consulente Amministrativo</t>
  </si>
  <si>
    <t>6/1/1093</t>
  </si>
  <si>
    <t>Paola Piattoli</t>
  </si>
  <si>
    <t>Pianificazione Media</t>
  </si>
  <si>
    <t>Digital Marketing</t>
  </si>
  <si>
    <t>10/20/1911</t>
  </si>
  <si>
    <t>Paola Querini</t>
  </si>
  <si>
    <t>Paolo Balconi</t>
  </si>
  <si>
    <t xml:space="preserve">Paolo </t>
  </si>
  <si>
    <t>Paolo De Angeli</t>
  </si>
  <si>
    <t>+39 34 3316827</t>
  </si>
  <si>
    <t>Senior Commercial Excellence Manager</t>
  </si>
  <si>
    <t>AUT-Vienna</t>
  </si>
  <si>
    <t>Pricing Group Expert</t>
  </si>
  <si>
    <t>12/27/1911</t>
  </si>
  <si>
    <t>Paolo Di Giovanni</t>
  </si>
  <si>
    <t>Alphagreen</t>
  </si>
  <si>
    <t>Finance and M&amp;A Analyst</t>
  </si>
  <si>
    <t>Paolo Gatti</t>
  </si>
  <si>
    <t>Formatore</t>
  </si>
  <si>
    <t>AIAC</t>
  </si>
  <si>
    <t>Paolo Massari</t>
  </si>
  <si>
    <t>mediaset</t>
  </si>
  <si>
    <t>Journalist</t>
  </si>
  <si>
    <t>1/1/1098</t>
  </si>
  <si>
    <t>Assessore</t>
  </si>
  <si>
    <t>Paolo Niri</t>
  </si>
  <si>
    <t>Paolo Wegner</t>
  </si>
  <si>
    <t>Pasquo Massimo Cicchini</t>
  </si>
  <si>
    <t xml:space="preserve">Pasquo </t>
  </si>
  <si>
    <t xml:space="preserve">Massimo </t>
  </si>
  <si>
    <t>https://www.linkedin.com/in/pasquo-cicchini-a865b1/</t>
  </si>
  <si>
    <t>PR and Communication/Team Manager</t>
  </si>
  <si>
    <t>Patrick Biella</t>
  </si>
  <si>
    <t xml:space="preserve">Patrick </t>
  </si>
  <si>
    <t>+39 347 639342</t>
  </si>
  <si>
    <t>H2H | The Circular Agency</t>
  </si>
  <si>
    <t>BDM</t>
  </si>
  <si>
    <t>02/28/2001</t>
  </si>
  <si>
    <t>IRN-Tehran</t>
  </si>
  <si>
    <t>Patrick Giovannini</t>
  </si>
  <si>
    <t xml:space="preserve">Crédit Agricole CIB </t>
  </si>
  <si>
    <t>Patrizia Medvedich</t>
  </si>
  <si>
    <t xml:space="preserve">Patrizia </t>
  </si>
  <si>
    <t>https://www.linkedin.com/in/patrizia-medvedich-7353ba/</t>
  </si>
  <si>
    <t>Independent Financial Services Professional</t>
  </si>
  <si>
    <t>Pierantonio Regeni</t>
  </si>
  <si>
    <t xml:space="preserve">Pierantonio </t>
  </si>
  <si>
    <t>SCARPA</t>
  </si>
  <si>
    <t>Pierluigi Camadini</t>
  </si>
  <si>
    <t xml:space="preserve">Pierluigi </t>
  </si>
  <si>
    <t>Pierluigi Fulvi</t>
  </si>
  <si>
    <t xml:space="preserve">DLL </t>
  </si>
  <si>
    <t>Piero Martellini</t>
  </si>
  <si>
    <t xml:space="preserve">Piero </t>
  </si>
  <si>
    <t>+39 338 2767733</t>
  </si>
  <si>
    <t>Deal Advisory Intern</t>
  </si>
  <si>
    <t>ARE-Dubai</t>
  </si>
  <si>
    <t>Pierpaolo De Blasi</t>
  </si>
  <si>
    <t xml:space="preserve">Pierpaolo </t>
  </si>
  <si>
    <t>https://www.linkedin.com/in/pierpaolo-de-blasi-921a32b/</t>
  </si>
  <si>
    <t>Professore di statistica</t>
  </si>
  <si>
    <t>Pietro Cremaschi</t>
  </si>
  <si>
    <t xml:space="preserve">Pietro </t>
  </si>
  <si>
    <t>Pietro Guidelli Guidi</t>
  </si>
  <si>
    <t xml:space="preserve">Accenture </t>
  </si>
  <si>
    <t>Pietro Lampronti</t>
  </si>
  <si>
    <t>Pietro Menza</t>
  </si>
  <si>
    <t>+39 339 7592865</t>
  </si>
  <si>
    <t>https://www.linkedin.com/in/pietro-menza-3241b18/</t>
  </si>
  <si>
    <t>Business Support Officer</t>
  </si>
  <si>
    <t>Raffaella Cornaggia</t>
  </si>
  <si>
    <t xml:space="preserve">Raffaella </t>
  </si>
  <si>
    <t>Senior Vice President</t>
  </si>
  <si>
    <t>The Estee Lauder</t>
  </si>
  <si>
    <t>Renata Casoli</t>
  </si>
  <si>
    <t xml:space="preserve">Renata </t>
  </si>
  <si>
    <t>renata.casoli@gmail.com</t>
  </si>
  <si>
    <t>Entrepreneur In Residence</t>
  </si>
  <si>
    <t>NLD-Amsterdam</t>
  </si>
  <si>
    <t>Rockstart</t>
  </si>
  <si>
    <t>Mentor</t>
  </si>
  <si>
    <t>10/25/2011</t>
  </si>
  <si>
    <t>Riccardo Cella Mazzariol</t>
  </si>
  <si>
    <t>Riccardo Gironi</t>
  </si>
  <si>
    <t xml:space="preserve">McKinsey &amp; Company </t>
  </si>
  <si>
    <t>Riccardo Masotto</t>
  </si>
  <si>
    <t>+39 347 573876</t>
  </si>
  <si>
    <t>https://www.linkedin.com/in/riccardo-masotto-a97a3/</t>
  </si>
  <si>
    <t>Riccardo Nicolini</t>
  </si>
  <si>
    <t>+39 349 3155816</t>
  </si>
  <si>
    <t>ITA-Rimini</t>
  </si>
  <si>
    <t>Riccardo Persico</t>
  </si>
  <si>
    <t>+39 346 8776</t>
  </si>
  <si>
    <t xml:space="preserve">Apollo Global Management Inc. </t>
  </si>
  <si>
    <t>Trainee Student</t>
  </si>
  <si>
    <t>Riccardo Pozzati</t>
  </si>
  <si>
    <t>https://www.linkedin.com/in/pozzati/</t>
  </si>
  <si>
    <t>Municipio IX Levante Genova</t>
  </si>
  <si>
    <t>Riccardo Rossetti</t>
  </si>
  <si>
    <t>NA</t>
  </si>
  <si>
    <t>Founder and General Manager</t>
  </si>
  <si>
    <t>ALB-Tirana</t>
  </si>
  <si>
    <t>Across Borders</t>
  </si>
  <si>
    <t>ROU-Bucharest</t>
  </si>
  <si>
    <t>Riccardo Rosso</t>
  </si>
  <si>
    <t>Riccardo Valboni</t>
  </si>
  <si>
    <t>Universiteit Utrecht</t>
  </si>
  <si>
    <t>Assistant Professor in International Business</t>
  </si>
  <si>
    <t>NLD-Utrecht</t>
  </si>
  <si>
    <t>Rotterdam School of Management, Erasmus University</t>
  </si>
  <si>
    <t>Research Associate in Strategic Management</t>
  </si>
  <si>
    <t>05/13/2001</t>
  </si>
  <si>
    <t>NLD-Rotterdam</t>
  </si>
  <si>
    <t>Roberta Benedetti del Rio</t>
  </si>
  <si>
    <t xml:space="preserve">Roberta </t>
  </si>
  <si>
    <t>+39 392 6968369</t>
  </si>
  <si>
    <t>Just Climate</t>
  </si>
  <si>
    <t>Finance Matters</t>
  </si>
  <si>
    <t>02/16/2001</t>
  </si>
  <si>
    <t>Roberta Nembri</t>
  </si>
  <si>
    <t>Services Development</t>
  </si>
  <si>
    <t>Head Of Product Management</t>
  </si>
  <si>
    <t>Roberta Onorati</t>
  </si>
  <si>
    <t>Roberto Arduino</t>
  </si>
  <si>
    <t xml:space="preserve">Roberto </t>
  </si>
  <si>
    <t xml:space="preserve">Gruppo Selecover S.p.A. : Selecover, Ferbrokers, Seleservice. E altra in via di acquisizione </t>
  </si>
  <si>
    <t>Roberto Bonacina</t>
  </si>
  <si>
    <t xml:space="preserve">Ethica Group </t>
  </si>
  <si>
    <t>Head of M&amp;A Italy</t>
  </si>
  <si>
    <t>Rosalia Giura Longo</t>
  </si>
  <si>
    <t xml:space="preserve">Rosalia </t>
  </si>
  <si>
    <t>+39 338 8944812</t>
  </si>
  <si>
    <t>https://www.linkedin.com/in/rosalia-giura-longo-277126b</t>
  </si>
  <si>
    <t>SWE-Stockholm</t>
  </si>
  <si>
    <t>IND-Mumbai</t>
  </si>
  <si>
    <t>Ruggiero Valente</t>
  </si>
  <si>
    <t xml:space="preserve">Ruggiero </t>
  </si>
  <si>
    <t>+39 333 94476</t>
  </si>
  <si>
    <t>https://www.linkedin.com/in/ruggiero-valente-641a866</t>
  </si>
  <si>
    <t>Sagitta Sgr Spa</t>
  </si>
  <si>
    <t>Sabrina Mensi</t>
  </si>
  <si>
    <t xml:space="preserve">Sabrina </t>
  </si>
  <si>
    <t>+39 347 9665424</t>
  </si>
  <si>
    <t>Portfolio Manager</t>
  </si>
  <si>
    <t>Sofia SGR</t>
  </si>
  <si>
    <t>Corporate Finance Advisor</t>
  </si>
  <si>
    <t>Samantha Livraga</t>
  </si>
  <si>
    <t xml:space="preserve">Samantha </t>
  </si>
  <si>
    <t>Sandro Aglialoro</t>
  </si>
  <si>
    <t xml:space="preserve">Sandro </t>
  </si>
  <si>
    <t>+39 347 3895473</t>
  </si>
  <si>
    <t>Tack TMI</t>
  </si>
  <si>
    <t>Senior Trainer</t>
  </si>
  <si>
    <t>CHE-Switzerland</t>
  </si>
  <si>
    <t>Alma Artis Academy</t>
  </si>
  <si>
    <t>Docente Marketing</t>
  </si>
  <si>
    <t>Sara Appoloni</t>
  </si>
  <si>
    <t xml:space="preserve">Sara </t>
  </si>
  <si>
    <t>+39 347 9437317</t>
  </si>
  <si>
    <t>ITA-Vicenza</t>
  </si>
  <si>
    <t>Ronda Spa</t>
  </si>
  <si>
    <t>Sara Bernasconi</t>
  </si>
  <si>
    <t>Sara Brusatori</t>
  </si>
  <si>
    <t>+39 347 47922</t>
  </si>
  <si>
    <t>Responsabile Marketing</t>
  </si>
  <si>
    <t>Analista di organizzazione, progettatore e formatore aziendale</t>
  </si>
  <si>
    <t>Sara Di Biagio</t>
  </si>
  <si>
    <t>Business Course</t>
  </si>
  <si>
    <t>Sara Orsenigo</t>
  </si>
  <si>
    <t>Sarah Bartesaghi Truong</t>
  </si>
  <si>
    <t xml:space="preserve">Sarah </t>
  </si>
  <si>
    <t xml:space="preserve">VeniVidiParis </t>
  </si>
  <si>
    <t>Sarah Luksic</t>
  </si>
  <si>
    <t>Finance, Accounting &amp; Control Intern</t>
  </si>
  <si>
    <t>MLT-Malta</t>
  </si>
  <si>
    <t>Sebastian Rocca</t>
  </si>
  <si>
    <t xml:space="preserve">Sebastian </t>
  </si>
  <si>
    <t>+44 (795) 6 877 797</t>
  </si>
  <si>
    <t>Sebastiano Antonucci</t>
  </si>
  <si>
    <t xml:space="preserve">Sebastiano </t>
  </si>
  <si>
    <t>Sebastiano Moro</t>
  </si>
  <si>
    <t>https://www.linkedin.com/in/sebastiano-moro-2b7131</t>
  </si>
  <si>
    <t xml:space="preserve">BlackRock </t>
  </si>
  <si>
    <t>Business Operation Intern</t>
  </si>
  <si>
    <t>HUN-Budapest</t>
  </si>
  <si>
    <t>Sergio Reggiardi</t>
  </si>
  <si>
    <t xml:space="preserve">Sergio </t>
  </si>
  <si>
    <t>https://www.linkedin.com/in/sergio-reggiardi-975936/</t>
  </si>
  <si>
    <t>Money Broker</t>
  </si>
  <si>
    <t>4/1/1096</t>
  </si>
  <si>
    <t>Sharif Joudè</t>
  </si>
  <si>
    <t xml:space="preserve">Sharif </t>
  </si>
  <si>
    <t>NEVA SGR</t>
  </si>
  <si>
    <t>Silvia Bosisio</t>
  </si>
  <si>
    <t xml:space="preserve">Silvia </t>
  </si>
  <si>
    <t>+39 347 274181</t>
  </si>
  <si>
    <t>https://www.linkedin.com/in/silvia-bosisio-aa7a72/</t>
  </si>
  <si>
    <t>Financial Amministrator</t>
  </si>
  <si>
    <t>Ingersoil</t>
  </si>
  <si>
    <t>Silvia Piva</t>
  </si>
  <si>
    <t>+39 339 696774</t>
  </si>
  <si>
    <t>RBS Global Banking &amp; Markets</t>
  </si>
  <si>
    <t>Director, Structured Finance UK&amp;I</t>
  </si>
  <si>
    <t>Silvia Rosina</t>
  </si>
  <si>
    <t>Italiaonline</t>
  </si>
  <si>
    <t>Digital Marketing Manager</t>
  </si>
  <si>
    <t>Seat Pagine Gialle spa</t>
  </si>
  <si>
    <t>Silvia Sanchez Serra</t>
  </si>
  <si>
    <t>https://www.linkedin.com/in/mattia-salvioni-3bb947a7</t>
  </si>
  <si>
    <t>Omnios</t>
  </si>
  <si>
    <t>Simon Grabstein</t>
  </si>
  <si>
    <t xml:space="preserve">Simon </t>
  </si>
  <si>
    <t>+39 335 632117</t>
  </si>
  <si>
    <t>.</t>
  </si>
  <si>
    <t>Menaging Director</t>
  </si>
  <si>
    <t>Simona Del Re</t>
  </si>
  <si>
    <t xml:space="preserve">Simona </t>
  </si>
  <si>
    <t>+39 347 369751</t>
  </si>
  <si>
    <t>https://www.linkedin.com/in/simona-del-re-a85782</t>
  </si>
  <si>
    <t xml:space="preserve">The Italian Sea Group S.p.A </t>
  </si>
  <si>
    <t>Communication &amp; Branding Manager</t>
  </si>
  <si>
    <t>ITA-Viareggio</t>
  </si>
  <si>
    <t>Azimut Yachts</t>
  </si>
  <si>
    <t>Simone Genini</t>
  </si>
  <si>
    <t xml:space="preserve">Simone </t>
  </si>
  <si>
    <t>https://www.linkedin.com/in/simone-genini-15741b5</t>
  </si>
  <si>
    <t>Responsabile Risorse Umane</t>
  </si>
  <si>
    <t>ITA-Sondrio</t>
  </si>
  <si>
    <t>Autotorino</t>
  </si>
  <si>
    <t>Responsabile servizi finanziari e assicurativi</t>
  </si>
  <si>
    <t>Simone Pluchino</t>
  </si>
  <si>
    <t>simone.pluchino@alumni.insead.edu</t>
  </si>
  <si>
    <t>+39 335 13325</t>
  </si>
  <si>
    <t>McKinsey New Ventures (part of McKinsey &amp; Company)</t>
  </si>
  <si>
    <t>Finalta Director Latin America, South Europe and Mediterranean</t>
  </si>
  <si>
    <t>Finalta Director South Europe and Mediterranean</t>
  </si>
  <si>
    <t>Simone Ravalli</t>
  </si>
  <si>
    <t>+35 383 845143</t>
  </si>
  <si>
    <t>Industry Manager</t>
  </si>
  <si>
    <t>Account Strategist</t>
  </si>
  <si>
    <t>Sofia Castello</t>
  </si>
  <si>
    <t xml:space="preserve">Sofia </t>
  </si>
  <si>
    <t>Restructuring Specialist</t>
  </si>
  <si>
    <t>ITA-Genova</t>
  </si>
  <si>
    <t>Stefan Matei</t>
  </si>
  <si>
    <t xml:space="preserve">Stefan </t>
  </si>
  <si>
    <t>Investment Professional</t>
  </si>
  <si>
    <t>CHE-Zurich</t>
  </si>
  <si>
    <t>Stefania Amadio</t>
  </si>
  <si>
    <t xml:space="preserve">Stefania </t>
  </si>
  <si>
    <t>Client Consultant</t>
  </si>
  <si>
    <t>Executive, Corporate Finance</t>
  </si>
  <si>
    <t>Stefania Mountagner</t>
  </si>
  <si>
    <t>Stefania Zuccolotto</t>
  </si>
  <si>
    <t>+39 347 9556312</t>
  </si>
  <si>
    <t>https://www.linkedin.com/in/stefania-zuccolotto-21aa6b</t>
  </si>
  <si>
    <t>BI.CAR S.R.L.</t>
  </si>
  <si>
    <t>Responsabile organizzazione e comunicazione</t>
  </si>
  <si>
    <t>Impiegata presso Direzione Amministrazione</t>
  </si>
  <si>
    <t>10/26/1910</t>
  </si>
  <si>
    <t>Stefano Ampollini</t>
  </si>
  <si>
    <t xml:space="preserve">Stefano </t>
  </si>
  <si>
    <t>Stefano Benini</t>
  </si>
  <si>
    <t>+39 338 465218</t>
  </si>
  <si>
    <t>A2A Recycling srl</t>
  </si>
  <si>
    <t>Amministratore delegato</t>
  </si>
  <si>
    <t>Business development</t>
  </si>
  <si>
    <t>Stefano Bennati</t>
  </si>
  <si>
    <t>2 713462</t>
  </si>
  <si>
    <t>https://www.linkedin.com/in/stefano-bennati-3b6951</t>
  </si>
  <si>
    <t>Stefano Brentel</t>
  </si>
  <si>
    <t>+39 334 653669</t>
  </si>
  <si>
    <t>Stefano Cadoni</t>
  </si>
  <si>
    <t xml:space="preserve">Neulabs </t>
  </si>
  <si>
    <t>Stefano Casati</t>
  </si>
  <si>
    <t>+39 392 997381</t>
  </si>
  <si>
    <t>DoubleYou srl</t>
  </si>
  <si>
    <t>Stefano Galeandro</t>
  </si>
  <si>
    <t>Cazenove</t>
  </si>
  <si>
    <t>Stefano Gardini</t>
  </si>
  <si>
    <t>Head of Procurement</t>
  </si>
  <si>
    <t>Original Equipment, Business Development</t>
  </si>
  <si>
    <t>Stefano Giacomantonio</t>
  </si>
  <si>
    <t>+39 339 7572351</t>
  </si>
  <si>
    <t>https://www.linkedin.com/in/stefano-giacomantonio-9b5a66/</t>
  </si>
  <si>
    <t>Business Developer</t>
  </si>
  <si>
    <t>L'Oreal</t>
  </si>
  <si>
    <t>Stefano Giacomino</t>
  </si>
  <si>
    <t>Stefano Marinelli</t>
  </si>
  <si>
    <t>De Agostini S.p.A.</t>
  </si>
  <si>
    <t>Group Tax Manager</t>
  </si>
  <si>
    <t>Technical Manager</t>
  </si>
  <si>
    <t>Stefano Seoni</t>
  </si>
  <si>
    <t>+39 366 344954</t>
  </si>
  <si>
    <t xml:space="preserve">Amazon </t>
  </si>
  <si>
    <t>Stefano Tommasi</t>
  </si>
  <si>
    <t xml:space="preserve">GELLIFY </t>
  </si>
  <si>
    <t>Instructor</t>
  </si>
  <si>
    <t>Stefano Zuppet</t>
  </si>
  <si>
    <t>Founder &amp; Managing Partner</t>
  </si>
  <si>
    <t>Managing Director - Co-Head of Global Banking</t>
  </si>
  <si>
    <t>Tommaso Debenedetti</t>
  </si>
  <si>
    <t xml:space="preserve">Tommaso </t>
  </si>
  <si>
    <t>+39 338 2419469</t>
  </si>
  <si>
    <t>+39 341 94168</t>
  </si>
  <si>
    <t xml:space="preserve">Cazoo </t>
  </si>
  <si>
    <t>Tommaso Marchese</t>
  </si>
  <si>
    <t>+39 349 1182261</t>
  </si>
  <si>
    <t>Head of Enterprise Sales</t>
  </si>
  <si>
    <t>Tommaso Tentorio</t>
  </si>
  <si>
    <t>Head of Italy Markets B&amp;P Transformation</t>
  </si>
  <si>
    <t>Markets Italy Organization</t>
  </si>
  <si>
    <t>Umberto Armani</t>
  </si>
  <si>
    <t xml:space="preserve">Umberto </t>
  </si>
  <si>
    <t>https://www.linkedin.com/in/umberto-armani-2b18a7</t>
  </si>
  <si>
    <t>CDP Cassa Depositi e Prestiti</t>
  </si>
  <si>
    <t>Jefferies</t>
  </si>
  <si>
    <t>Uros Cvetkovic</t>
  </si>
  <si>
    <t xml:space="preserve">Uros </t>
  </si>
  <si>
    <t>https://www.linkedin.com/in/colla-valentina-7178b73</t>
  </si>
  <si>
    <t>Regional Retail Manager</t>
  </si>
  <si>
    <t>Valentina De Padova</t>
  </si>
  <si>
    <t>+39 322 213398</t>
  </si>
  <si>
    <t>Valentina Ferretti</t>
  </si>
  <si>
    <t>OrtiAlti</t>
  </si>
  <si>
    <t>Valentina Pignataro</t>
  </si>
  <si>
    <t>valentina.pignataro1@yahoo.it</t>
  </si>
  <si>
    <t>+39 331 417637</t>
  </si>
  <si>
    <t>https://www.linkedin.com/in/valentinapignataro1/</t>
  </si>
  <si>
    <t xml:space="preserve">Oliver Wyman </t>
  </si>
  <si>
    <t>Valeria Di Natale</t>
  </si>
  <si>
    <t xml:space="preserve">Valeria </t>
  </si>
  <si>
    <t>Valeria Trisolini</t>
  </si>
  <si>
    <t>+39 333 79319</t>
  </si>
  <si>
    <t>https://www.linkedin.com/in/valeria-trisolini-21a211</t>
  </si>
  <si>
    <t>Banca d'Italia - Eurosistema</t>
  </si>
  <si>
    <t>Expert</t>
  </si>
  <si>
    <t>ITA-Bari</t>
  </si>
  <si>
    <t>Gestore Small Business</t>
  </si>
  <si>
    <t>ITA-Napoli</t>
  </si>
  <si>
    <t>Vedovi Alberto</t>
  </si>
  <si>
    <t xml:space="preserve">Vedovi </t>
  </si>
  <si>
    <t>Venus Modabber</t>
  </si>
  <si>
    <t xml:space="preserve">Venus </t>
  </si>
  <si>
    <t>modabberv@gmail.com</t>
  </si>
  <si>
    <t>+39 347 387 7594</t>
  </si>
  <si>
    <t>Associate Director</t>
  </si>
  <si>
    <t>Veronica Demozzi</t>
  </si>
  <si>
    <t xml:space="preserve">Veronica </t>
  </si>
  <si>
    <t>+41 79884669</t>
  </si>
  <si>
    <t>Corporate Finance Manager</t>
  </si>
  <si>
    <t>ABB</t>
  </si>
  <si>
    <t>Group Treasury Manager</t>
  </si>
  <si>
    <t>Veronica Spaggiari</t>
  </si>
  <si>
    <t>+39 347 441177</t>
  </si>
  <si>
    <t>https://www.linkedin.com/in/veronica-spaggiari-a8438a14</t>
  </si>
  <si>
    <t xml:space="preserve">ManyPets </t>
  </si>
  <si>
    <t>Azimo</t>
  </si>
  <si>
    <t>Business Development Partner</t>
  </si>
  <si>
    <t>DEU-Berlin</t>
  </si>
  <si>
    <t>Veronique Morghen</t>
  </si>
  <si>
    <t xml:space="preserve">Veronique </t>
  </si>
  <si>
    <t>Vieri Caneschi</t>
  </si>
  <si>
    <t xml:space="preserve">Vieri </t>
  </si>
  <si>
    <t>Associate intern</t>
  </si>
  <si>
    <t>DEU-Frankfurt</t>
  </si>
  <si>
    <t>Venture Capital Advisory Intern</t>
  </si>
  <si>
    <t>Vieri Parmantier</t>
  </si>
  <si>
    <t>ALTEN Switzerland</t>
  </si>
  <si>
    <t>Management Consultant</t>
  </si>
  <si>
    <t>CHE-Lugano</t>
  </si>
  <si>
    <t>Vincenza Maria De Maio</t>
  </si>
  <si>
    <t xml:space="preserve">Vincenza </t>
  </si>
  <si>
    <t xml:space="preserve">Marsh </t>
  </si>
  <si>
    <t>Vincenzo Antonio Speciale</t>
  </si>
  <si>
    <t xml:space="preserve">Vincenzo </t>
  </si>
  <si>
    <t xml:space="preserve">Antonio </t>
  </si>
  <si>
    <t>https://www.linkedin.com/in/vincenzo-antonio-speciale-8b1314b</t>
  </si>
  <si>
    <t>Associate | International Arbitration Group</t>
  </si>
  <si>
    <t>International Arbitration intern</t>
  </si>
  <si>
    <t>Vincenzo Marino</t>
  </si>
  <si>
    <t xml:space="preserve">BuildNN </t>
  </si>
  <si>
    <t>Vincenzo Pagano</t>
  </si>
  <si>
    <t>Vinicius Saraiva Andrade</t>
  </si>
  <si>
    <t xml:space="preserve">Vinicius </t>
  </si>
  <si>
    <t xml:space="preserve">Saraiva </t>
  </si>
  <si>
    <t>Viria Paiano</t>
  </si>
  <si>
    <t xml:space="preserve">Viria </t>
  </si>
  <si>
    <t>+39 333 421864</t>
  </si>
  <si>
    <t>https://www.linkedin.com/in/viria-paiano-219231/</t>
  </si>
  <si>
    <t xml:space="preserve">Valentino </t>
  </si>
  <si>
    <t>Internal Audit Supervisor</t>
  </si>
  <si>
    <t>LUX-Luxembourg</t>
  </si>
  <si>
    <t>Lead Internal Auditor</t>
  </si>
  <si>
    <t>Wilma Adele Mascarino</t>
  </si>
  <si>
    <t xml:space="preserve">Wilma </t>
  </si>
  <si>
    <t xml:space="preserve">Adele </t>
  </si>
  <si>
    <t>NNNa</t>
  </si>
  <si>
    <t xml:space="preserve">Commercialista </t>
  </si>
  <si>
    <t>Wilma Mascarino</t>
  </si>
  <si>
    <t>Wolfgang Sparer</t>
  </si>
  <si>
    <t xml:space="preserve">Wolfgang </t>
  </si>
  <si>
    <t>+39 335 8153 155</t>
  </si>
  <si>
    <t>https://www.linkedin.com/in/wolfgang-sparer-ba296/</t>
  </si>
  <si>
    <t xml:space="preserve">Amiga Global </t>
  </si>
  <si>
    <t>Head of Amministration</t>
  </si>
  <si>
    <t>ITA-Bolzano</t>
  </si>
  <si>
    <t>Federconsorzi Dolomiti</t>
  </si>
  <si>
    <t>Marketing Director</t>
  </si>
  <si>
    <t>09/14/2011</t>
  </si>
  <si>
    <t>gen</t>
  </si>
  <si>
    <t>feb</t>
  </si>
  <si>
    <t>mar</t>
  </si>
  <si>
    <t>apr</t>
  </si>
  <si>
    <t>mag</t>
  </si>
  <si>
    <t>giu</t>
  </si>
  <si>
    <t>lug</t>
  </si>
  <si>
    <t>ago</t>
  </si>
  <si>
    <t>set</t>
  </si>
  <si>
    <t>ott</t>
  </si>
  <si>
    <t>nov</t>
  </si>
  <si>
    <t>dic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</si>
  <si>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</si>
  <si>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</si>
  <si>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</si>
  <si>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</si>
  <si>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</si>
  <si>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</si>
  <si>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</si>
  <si>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</si>
  <si>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</si>
  <si>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</si>
  <si>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</si>
  <si>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</si>
  <si>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AI</t>
  </si>
  <si>
    <t>Business Intelligence</t>
  </si>
  <si>
    <t>Cyber Security</t>
  </si>
  <si>
    <t>Management</t>
  </si>
  <si>
    <t>Consumer goods</t>
  </si>
  <si>
    <t>Public Administration</t>
  </si>
  <si>
    <t>Publishing</t>
  </si>
  <si>
    <t>Shipbuilding</t>
  </si>
  <si>
    <t>Consulting Advisory</t>
  </si>
  <si>
    <t>Information</t>
  </si>
  <si>
    <t>Marketing &amp; Advertising</t>
  </si>
  <si>
    <t>University</t>
  </si>
  <si>
    <t>Maritime</t>
  </si>
  <si>
    <t>Electrical/Electronic Manufacturing</t>
  </si>
  <si>
    <t>Institution</t>
  </si>
  <si>
    <t>Research</t>
  </si>
  <si>
    <t>Media</t>
  </si>
  <si>
    <t>Fondo (inclusi PE)</t>
  </si>
  <si>
    <t>TLC</t>
  </si>
  <si>
    <t>Computer Software</t>
  </si>
  <si>
    <t>Oil &amp; Energy</t>
  </si>
  <si>
    <t>Tech</t>
  </si>
  <si>
    <t>Internet</t>
  </si>
  <si>
    <t>IT &amp; Communication</t>
  </si>
  <si>
    <t>Management Consulting</t>
  </si>
  <si>
    <t>Altro</t>
  </si>
  <si>
    <t>Art</t>
  </si>
  <si>
    <t>E-commerce</t>
  </si>
  <si>
    <t>Event management</t>
  </si>
  <si>
    <t>Food and Beverage</t>
  </si>
  <si>
    <t>Furniture</t>
  </si>
  <si>
    <t>Health</t>
  </si>
  <si>
    <t>Hospitality</t>
  </si>
  <si>
    <t>Pharmaceuticals</t>
  </si>
  <si>
    <t>Leisure, Travel and Tourism</t>
  </si>
  <si>
    <t>Design</t>
  </si>
  <si>
    <t>Corporate</t>
  </si>
  <si>
    <t>ID</t>
  </si>
  <si>
    <t>Zaira Antonicelli</t>
  </si>
  <si>
    <t>Eleonora Ambrosiano</t>
  </si>
  <si>
    <t>Vinicius Andrade</t>
  </si>
  <si>
    <t>David Aprile</t>
  </si>
  <si>
    <t>Marco Baldassari </t>
  </si>
  <si>
    <t>Chiara Balestra</t>
  </si>
  <si>
    <t>Andrea Ballacchino</t>
  </si>
  <si>
    <t>Andrea Baroni</t>
  </si>
  <si>
    <t>Tommaso Bellisio</t>
  </si>
  <si>
    <t>Diana Bergantin</t>
  </si>
  <si>
    <t>Matteo Bettini</t>
  </si>
  <si>
    <t>Fabio Bianchi</t>
  </si>
  <si>
    <t>Armando Bianchimano</t>
  </si>
  <si>
    <t>Aiste Bielinyte</t>
  </si>
  <si>
    <t>Giacomo Biraghi</t>
  </si>
  <si>
    <t>Edoardo Bolognese</t>
  </si>
  <si>
    <t>Francesco Bona</t>
  </si>
  <si>
    <t>Ludovico Bonucchi</t>
  </si>
  <si>
    <t>Matteo Boucherie</t>
  </si>
  <si>
    <t>Michele Calvo</t>
  </si>
  <si>
    <t>Pietro Cartapani</t>
  </si>
  <si>
    <t>Shelby Carter</t>
  </si>
  <si>
    <t>Maria Casartelli</t>
  </si>
  <si>
    <t>Elia Cepparo</t>
  </si>
  <si>
    <t>Pasquo Cicchini</t>
  </si>
  <si>
    <t>Alberto Cifrodelli</t>
  </si>
  <si>
    <t>Matteo Corbetta</t>
  </si>
  <si>
    <t>Giorgio Croci</t>
  </si>
  <si>
    <t>Mario D'Armi</t>
  </si>
  <si>
    <t>Carolina De Fernex</t>
  </si>
  <si>
    <t>Veronique De Giorgi</t>
  </si>
  <si>
    <t>Vincenza De Maio</t>
  </si>
  <si>
    <t>Mario De Matteis</t>
  </si>
  <si>
    <t>Michele Deluchi</t>
  </si>
  <si>
    <t>Matteo Di Lenarda</t>
  </si>
  <si>
    <t>Federico Di Ninni</t>
  </si>
  <si>
    <t>Alessio Ficara</t>
  </si>
  <si>
    <t>Alessandra Fidone</t>
  </si>
  <si>
    <t>Jeronimo Fuentes</t>
  </si>
  <si>
    <t>Maria Gagliardi</t>
  </si>
  <si>
    <t>Andre Gardella</t>
  </si>
  <si>
    <t>Maria Gazzotti</t>
  </si>
  <si>
    <t>Carla Greco</t>
  </si>
  <si>
    <t>Laurin Hauprich</t>
  </si>
  <si>
    <t>Sara Ilic</t>
  </si>
  <si>
    <t>Vincent Imparato</t>
  </si>
  <si>
    <t>Cristina Istria (Schueffel)</t>
  </si>
  <si>
    <t>Martyna Koncewicz</t>
  </si>
  <si>
    <t>Zofia Krason</t>
  </si>
  <si>
    <t>Eman Maan</t>
  </si>
  <si>
    <t>Maria Manica</t>
  </si>
  <si>
    <t>Carlotta Mantelli</t>
  </si>
  <si>
    <t>Antonio Maude</t>
  </si>
  <si>
    <t>Guido Mazzacuva</t>
  </si>
  <si>
    <t>Gabriele Mengo</t>
  </si>
  <si>
    <t>Sebastiano Mina</t>
  </si>
  <si>
    <t>Chiara Moretti</t>
  </si>
  <si>
    <t>Gabriele Noberasco</t>
  </si>
  <si>
    <t>Matteo Normanno</t>
  </si>
  <si>
    <t>Alessandro Paladino</t>
  </si>
  <si>
    <t>Ludovica Pantano</t>
  </si>
  <si>
    <t>Harshit Pareek</t>
  </si>
  <si>
    <t>Giovanni Parlangeli</t>
  </si>
  <si>
    <t>Federico Pascolini</t>
  </si>
  <si>
    <t>Francesco Pastrello</t>
  </si>
  <si>
    <t>Giulia Poletti de Chaurand</t>
  </si>
  <si>
    <t>Edoardo Raimondi</t>
  </si>
  <si>
    <t>Carlo Rastelli</t>
  </si>
  <si>
    <t>Anna Robbi</t>
  </si>
  <si>
    <t>Emma Schiavon</t>
  </si>
  <si>
    <t>Anna Schirò</t>
  </si>
  <si>
    <t>Efrem Semi</t>
  </si>
  <si>
    <t>Luca Sfragara</t>
  </si>
  <si>
    <t>Jiacheng Shi</t>
  </si>
  <si>
    <t>Pierleone Shoshan</t>
  </si>
  <si>
    <t>Alessandro Sozzani</t>
  </si>
  <si>
    <t>Vincenzo Speciale</t>
  </si>
  <si>
    <t>Marija Stojadinovic</t>
  </si>
  <si>
    <t>Bruno Striano</t>
  </si>
  <si>
    <t>Anna Taffarello</t>
  </si>
  <si>
    <t>Emma Titomanlio</t>
  </si>
  <si>
    <t>Matilde Troiani</t>
  </si>
  <si>
    <t>Oliviero Trucco</t>
  </si>
  <si>
    <t>Andrea Valacchi</t>
  </si>
  <si>
    <t>Pietro Vignola</t>
  </si>
  <si>
    <t>Maria Zappalà</t>
  </si>
  <si>
    <t>Huan Zhao</t>
  </si>
  <si>
    <t>Yuhao Zhou</t>
  </si>
  <si>
    <t>Senior Manager Regulatory Platform Innovation</t>
  </si>
  <si>
    <t>Account Analyst</t>
  </si>
  <si>
    <t>Docente Master, Componente del Comitato Scientifico del Laboratorio di Finanza Decentralizzata e Blockchain (LabDEC)</t>
  </si>
  <si>
    <t>Financial Stability Intern</t>
  </si>
  <si>
    <t>Corporate Tax Advisor</t>
  </si>
  <si>
    <t>Vice President Customer Value Creation</t>
  </si>
  <si>
    <t>Senior Advisor</t>
  </si>
  <si>
    <t>Responsabile Specialisti Investimenti</t>
  </si>
  <si>
    <t>Staff Product Manager</t>
  </si>
  <si>
    <t>GTM Manager</t>
  </si>
  <si>
    <t>Graduate Management Trainee</t>
  </si>
  <si>
    <t>Fund Administration Analyst</t>
  </si>
  <si>
    <t>Senior Financial Analyst</t>
  </si>
  <si>
    <t>Managing Director Italy</t>
  </si>
  <si>
    <t>CEO and owner</t>
  </si>
  <si>
    <t>Guide-conférencier</t>
  </si>
  <si>
    <t>Head of Strategy &amp; Operations</t>
  </si>
  <si>
    <t>Director of AI strategy &amp; Engineering</t>
  </si>
  <si>
    <t>Global Category Director SDA and Watercare</t>
  </si>
  <si>
    <t>Category Leader Sports and Toys</t>
  </si>
  <si>
    <t>Strategic Projects</t>
  </si>
  <si>
    <t>Transformation Lead</t>
  </si>
  <si>
    <t>Managing Director Structured Credit Trading</t>
  </si>
  <si>
    <t>Experience Transformation Manager</t>
  </si>
  <si>
    <t>Researcher</t>
  </si>
  <si>
    <t>Principal Program Manager</t>
  </si>
  <si>
    <t>Counsel</t>
  </si>
  <si>
    <t>Competition, Antitrust and Regulatory Litigation</t>
  </si>
  <si>
    <t>Data Science Consultant</t>
  </si>
  <si>
    <t>Interior Designer</t>
  </si>
  <si>
    <t>International Area</t>
  </si>
  <si>
    <t>Investment Director</t>
  </si>
  <si>
    <t>Integration Manager</t>
  </si>
  <si>
    <t>Deputy Client Account Leader</t>
  </si>
  <si>
    <t>IT Telecom Quality Senior Tester</t>
  </si>
  <si>
    <t>Investment Banking Summer Analyst</t>
  </si>
  <si>
    <t>Forward Deployed Engineer</t>
  </si>
  <si>
    <t>Governance and Communications Manager</t>
  </si>
  <si>
    <t>Senior Learning Analyst</t>
  </si>
  <si>
    <t>Controller for reporting Pon projects</t>
  </si>
  <si>
    <t>Business Development &amp; Strategy Manager</t>
  </si>
  <si>
    <t>Executive Chairman</t>
  </si>
  <si>
    <t>Credit strategist</t>
  </si>
  <si>
    <t>Data Scientist</t>
  </si>
  <si>
    <t>Deputy Economic Counselor</t>
  </si>
  <si>
    <t>Competition law Intern</t>
  </si>
  <si>
    <t>Head of Investment Management Oversight FundPartner Solutions</t>
  </si>
  <si>
    <t>Director of Finance</t>
  </si>
  <si>
    <t>Head of Corporate Strategy</t>
  </si>
  <si>
    <t>Head of Process Excellence and Procurement</t>
  </si>
  <si>
    <t>Public Official</t>
  </si>
  <si>
    <t>Executive member of Board Director</t>
  </si>
  <si>
    <t>Program Manager Intern</t>
  </si>
  <si>
    <t>Founder and CEO</t>
  </si>
  <si>
    <t>Business Development &amp; Operation Manager</t>
  </si>
  <si>
    <t>Investor &amp; Partner</t>
  </si>
  <si>
    <t>Venture Capital Intern</t>
  </si>
  <si>
    <t>Fashion &amp; Accessory Transformation Senior Manager</t>
  </si>
  <si>
    <t>Hostess</t>
  </si>
  <si>
    <t>Floor Manager</t>
  </si>
  <si>
    <t>Chief of Staff</t>
  </si>
  <si>
    <t>Corporate Banking Associate</t>
  </si>
  <si>
    <t>Head of M&amp;A</t>
  </si>
  <si>
    <t>Risk Management External Advisor</t>
  </si>
  <si>
    <t>Chartered Accountant</t>
  </si>
  <si>
    <t>Global Account COO</t>
  </si>
  <si>
    <t>Head of Advisory - Director</t>
  </si>
  <si>
    <t>CCO</t>
  </si>
  <si>
    <t>Technology Risk</t>
  </si>
  <si>
    <t>Audit Partner</t>
  </si>
  <si>
    <t>Founding Partner</t>
  </si>
  <si>
    <t>Mandatorio marchi</t>
  </si>
  <si>
    <t>FP&amp;A Manager</t>
  </si>
  <si>
    <t>Head of HRO &amp; ICT</t>
  </si>
  <si>
    <t>Head of Operational, Financial, and Special Audit</t>
  </si>
  <si>
    <t>FIG Analyst</t>
  </si>
  <si>
    <t>Group Chief Financial Officer</t>
  </si>
  <si>
    <t>Digital Specialist- Business &amp; Performance Strategy</t>
  </si>
  <si>
    <t>Customer Lead</t>
  </si>
  <si>
    <t>Host and Founder</t>
  </si>
  <si>
    <t>Senior R&amp;D Business Consultant</t>
  </si>
  <si>
    <t>E-sales Channel Director</t>
  </si>
  <si>
    <t>Client Leader</t>
  </si>
  <si>
    <t>Alternative Investments</t>
  </si>
  <si>
    <t>Mitigation Product Owner</t>
  </si>
  <si>
    <t>Finance Manager, Italy</t>
  </si>
  <si>
    <t>Head of Strategic Planning and Investor Relations</t>
  </si>
  <si>
    <t>Head of UK High Yield and Leverage Credit Sales</t>
  </si>
  <si>
    <t>Ingredients Junior Buyer</t>
  </si>
  <si>
    <t>Consulting &amp; Analytics Graduate</t>
  </si>
  <si>
    <t>Director - International loan origination - syndicated finance</t>
  </si>
  <si>
    <t>Marketing Communication Manager</t>
  </si>
  <si>
    <t>CMO and Head of Petcare</t>
  </si>
  <si>
    <t>President Miu Miu Middle East</t>
  </si>
  <si>
    <t>Global Relationship Manager</t>
  </si>
  <si>
    <t>Head of Outsourcing Management</t>
  </si>
  <si>
    <t>General Manager Portugal</t>
  </si>
  <si>
    <t>Brand Specialist</t>
  </si>
  <si>
    <t>Category &amp; Business Development Assistant</t>
  </si>
  <si>
    <t>Contract Teacher - Tax advisor</t>
  </si>
  <si>
    <t>SVP Global Talent</t>
  </si>
  <si>
    <t>Head of Business Development, Italy</t>
  </si>
  <si>
    <t>Business Account Executive</t>
  </si>
  <si>
    <t>Committee member and Senior Advisor</t>
  </si>
  <si>
    <t>Lawyer</t>
  </si>
  <si>
    <t>CFO, Advisor</t>
  </si>
  <si>
    <t>Senior Investment Manager</t>
  </si>
  <si>
    <t>Technical Product Manager</t>
  </si>
  <si>
    <t>Quantitative Researcher Associate</t>
  </si>
  <si>
    <t>Head of Trading Italy &amp; Greece</t>
  </si>
  <si>
    <t>Private Equity Director</t>
  </si>
  <si>
    <t>Finance &amp; Strategy Manager</t>
  </si>
  <si>
    <t>Customer Marketing</t>
  </si>
  <si>
    <t>Credit risk, Deputy Global Head of Fls</t>
  </si>
  <si>
    <t>Security Operations Project Manager</t>
  </si>
  <si>
    <t>Senior Associate Consultant</t>
  </si>
  <si>
    <t>General Manager Asia Pacific</t>
  </si>
  <si>
    <t>Finance Business Partner</t>
  </si>
  <si>
    <t>Commercial Excellence Graduate</t>
  </si>
  <si>
    <t>Deal Flow &amp; Structuring Director</t>
  </si>
  <si>
    <t>Business Development Leader</t>
  </si>
  <si>
    <t>Group Chief Strategy Officer</t>
  </si>
  <si>
    <t>Head of ISBD Organizaton</t>
  </si>
  <si>
    <t>Chief Planning and Performance Officer</t>
  </si>
  <si>
    <t>Category Manager</t>
  </si>
  <si>
    <t>Vice Dean</t>
  </si>
  <si>
    <t>Account Manager Intern</t>
  </si>
  <si>
    <t>Senior VP Cargo and Real Estate</t>
  </si>
  <si>
    <t>Tax Professional</t>
  </si>
  <si>
    <t>Professor - Researcher - Author</t>
  </si>
  <si>
    <t>Sales Development Manager</t>
  </si>
  <si>
    <t>Corporate-M&amp;A Trainee</t>
  </si>
  <si>
    <t>Digital Transformation Manager</t>
  </si>
  <si>
    <t>Special Projects</t>
  </si>
  <si>
    <t>Associate in Corporate Finance</t>
  </si>
  <si>
    <t>Product Strategy Consutlancy</t>
  </si>
  <si>
    <t>Finance Advisor</t>
  </si>
  <si>
    <t>Global Digital Marketing Manager Personal Care</t>
  </si>
  <si>
    <t>Fiannce Director</t>
  </si>
  <si>
    <t>Go To Market Leader</t>
  </si>
  <si>
    <t>Co-Founder - CEO</t>
  </si>
  <si>
    <t>Country Manager Italy &amp; Israel</t>
  </si>
  <si>
    <t>Vice President - Corporate Sourching</t>
  </si>
  <si>
    <t>Head of Portfolio Management</t>
  </si>
  <si>
    <t>Head of Group HR</t>
  </si>
  <si>
    <t>Associate consultant</t>
  </si>
  <si>
    <t>High Yield Credit Trader</t>
  </si>
  <si>
    <t>Senior Manager, Head of Label &amp; Industry Relations</t>
  </si>
  <si>
    <t>Trader</t>
  </si>
  <si>
    <t>Industrial Digital Transformation Architect</t>
  </si>
  <si>
    <t>Brand Director Global Haircare</t>
  </si>
  <si>
    <t>IR Manager</t>
  </si>
  <si>
    <t>Professore Associato Sociologia Generale</t>
  </si>
  <si>
    <t>Senior Inventory and supply chain manager</t>
  </si>
  <si>
    <t>Senior Vice President Finance &amp; Digital Innovation</t>
  </si>
  <si>
    <t>Head of Finance &amp; Risk and UK Branch Manager</t>
  </si>
  <si>
    <t>Analytics &amp; Insights Consultant, AmazonAds</t>
  </si>
  <si>
    <t>Founders Associate</t>
  </si>
  <si>
    <t>Sustainability Senior Consultant</t>
  </si>
  <si>
    <t>Account Executive - Tech SME Italy</t>
  </si>
  <si>
    <t>PhD, Environmental Economics</t>
  </si>
  <si>
    <t>Junior Economist</t>
  </si>
  <si>
    <t>Vice President GPS- Payments and Cash management</t>
  </si>
  <si>
    <t>Head of Corporate</t>
  </si>
  <si>
    <t>Director of Marketing</t>
  </si>
  <si>
    <t>Quantitative Strategist</t>
  </si>
  <si>
    <t>Innovation Manager</t>
  </si>
  <si>
    <t>Head of Capital Markets Sales Italy</t>
  </si>
  <si>
    <t>DrPh Researcher</t>
  </si>
  <si>
    <t>Head of Dining and Cross-Business Lines Retail Projects</t>
  </si>
  <si>
    <t>Communications specialist</t>
  </si>
  <si>
    <t>Talent Attraction &amp; Acquisition Leader</t>
  </si>
  <si>
    <t>Manager in Strategy</t>
  </si>
  <si>
    <t>CPO</t>
  </si>
  <si>
    <t>Co-Founder &amp; Business Development</t>
  </si>
  <si>
    <t>Outlet Performance &amp; Special Projects Coordinator</t>
  </si>
  <si>
    <t>CEO &amp; Board Member</t>
  </si>
  <si>
    <t>Operations Lead</t>
  </si>
  <si>
    <t>PhD Student, Economic department</t>
  </si>
  <si>
    <t>Head of Oranization &amp; Technological Innovation</t>
  </si>
  <si>
    <t>Director of Financial Services</t>
  </si>
  <si>
    <t>Graduate Research Assistant</t>
  </si>
  <si>
    <t>Executive</t>
  </si>
  <si>
    <t>Indipendent investor</t>
  </si>
  <si>
    <t>Dottore Commercialista / Advisor</t>
  </si>
  <si>
    <t>Head of Italy, Ticino, Malta, Greece &amp; Cyprus</t>
  </si>
  <si>
    <t>Head of Finance BP Operation</t>
  </si>
  <si>
    <t>Economist-Statistician</t>
  </si>
  <si>
    <t>Senior Finance Manager</t>
  </si>
  <si>
    <t>Executive Managing Director</t>
  </si>
  <si>
    <t>Head of Mercado Pago Colombia</t>
  </si>
  <si>
    <t>Senior Manager, Maketing Operation and Analytics</t>
  </si>
  <si>
    <t>Senior Manager, Strategy &amp; Excellence</t>
  </si>
  <si>
    <t>Head of Legal Wealth Management, Claims and Special Operations</t>
  </si>
  <si>
    <t>Chief Commercial officer</t>
  </si>
  <si>
    <t>SE Finance Change &amp; Communication Lead or the global deployment</t>
  </si>
  <si>
    <t>Intesa Invest Intern</t>
  </si>
  <si>
    <t>My Day to Day - Go to Market - Chapter Leader</t>
  </si>
  <si>
    <t>Praticante notaio</t>
  </si>
  <si>
    <t>Audit Intern</t>
  </si>
  <si>
    <t>Quantitative Research Intern</t>
  </si>
  <si>
    <t>Senior Product Manager Service</t>
  </si>
  <si>
    <t>Head of Global Industry Strategy</t>
  </si>
  <si>
    <t>Programme Officer</t>
  </si>
  <si>
    <t>Associate Product Manager</t>
  </si>
  <si>
    <t>Business Development Consultant</t>
  </si>
  <si>
    <t>Team lead, Global Capabilities Development Comittee</t>
  </si>
  <si>
    <t>Trainee Lawyer</t>
  </si>
  <si>
    <t>Financial Stability Analyst</t>
  </si>
  <si>
    <t>Legal Intern</t>
  </si>
  <si>
    <t>Clinic Manager</t>
  </si>
  <si>
    <t>Europe &amp; Africa M&amp;A Strategy Manager</t>
  </si>
  <si>
    <t>Founder &amp; Partner</t>
  </si>
  <si>
    <t>Sole Director, Chairman of the Board, Chief Executive Officer</t>
  </si>
  <si>
    <t>Lead Software Engineer</t>
  </si>
  <si>
    <t>Sales Executive</t>
  </si>
  <si>
    <t>Managing Director and Partner</t>
  </si>
  <si>
    <t>Amministrazione Finanza e Controllo</t>
  </si>
  <si>
    <t>Global Pricing and Revenue Manager</t>
  </si>
  <si>
    <t>Deployment Strategist</t>
  </si>
  <si>
    <t>Director (Commercial Real Estate)</t>
  </si>
  <si>
    <t>Private Equity Off-Cycle Analyst</t>
  </si>
  <si>
    <t>Commercial Exellence &amp; Engagement Lead</t>
  </si>
  <si>
    <t>Corporate Finance and Strategy</t>
  </si>
  <si>
    <t>Co-founder &amp; CEO</t>
  </si>
  <si>
    <t>Head of 23 Wall and Global Family Office Practice co-head</t>
  </si>
  <si>
    <t>M&amp;A Lead</t>
  </si>
  <si>
    <t>Team Lead</t>
  </si>
  <si>
    <t>Infinity Commercial Director</t>
  </si>
  <si>
    <t>CFO - Americas</t>
  </si>
  <si>
    <t>Costa Dei Rosmarini</t>
  </si>
  <si>
    <t>Administrative Consultant</t>
  </si>
  <si>
    <t>Communication and Media Planning</t>
  </si>
  <si>
    <t>Dottore commercialista</t>
  </si>
  <si>
    <t>Head of Customer Experience and Customer Value Management</t>
  </si>
  <si>
    <t>Director of Financial Planning and Analysis</t>
  </si>
  <si>
    <t>Private Equity Analyst-infrastructure</t>
  </si>
  <si>
    <t>Statistic Professor</t>
  </si>
  <si>
    <t>Strategy &amp; Operations Manager</t>
  </si>
  <si>
    <t>Head of Procurement &amp; Property Management</t>
  </si>
  <si>
    <t>Senior Product Manager</t>
  </si>
  <si>
    <t>Educational Leave</t>
  </si>
  <si>
    <t>PhD Candidate in Statistical Science</t>
  </si>
  <si>
    <t>Pre-Sales Manager (Data &amp; AI) </t>
  </si>
  <si>
    <t>Co-Founder and Managing Partner</t>
  </si>
  <si>
    <t>Head of Product and Marketing Services</t>
  </si>
  <si>
    <t>Direttore Generale</t>
  </si>
  <si>
    <t>Director of Logistics and Planning</t>
  </si>
  <si>
    <t>Head of Finance and Operations</t>
  </si>
  <si>
    <t>Business Controller</t>
  </si>
  <si>
    <t>Sales Manager &amp; Co-Founder</t>
  </si>
  <si>
    <t>Responsible Marketing</t>
  </si>
  <si>
    <t>Founder / CEO</t>
  </si>
  <si>
    <t>Associate (Hybrid Solutions and Credit Opps)</t>
  </si>
  <si>
    <t>Real Estate Private Equity intern</t>
  </si>
  <si>
    <t>Vice President, structured finance London</t>
  </si>
  <si>
    <t>Associate Project Manager</t>
  </si>
  <si>
    <t>Chairwoman of the board of directors</t>
  </si>
  <si>
    <t>Junior Sell-Out Manager</t>
  </si>
  <si>
    <t>Business Specialist</t>
  </si>
  <si>
    <t>Indipendent consultant and advisor</t>
  </si>
  <si>
    <t>Private Wealth Advisor</t>
  </si>
  <si>
    <t>Head of Procurement-Shared services, Marketing and Digital</t>
  </si>
  <si>
    <t>Multibrand Senior Area Manager</t>
  </si>
  <si>
    <t>Operating Partner</t>
  </si>
  <si>
    <t>VP of Sales</t>
  </si>
  <si>
    <t>Director of Commercial Italy</t>
  </si>
  <si>
    <t>Co-CEO</t>
  </si>
  <si>
    <t>Deputy Head of Portfolio Management</t>
  </si>
  <si>
    <t>Global Google Alliance Director</t>
  </si>
  <si>
    <t>Global Head of FP&amp;A</t>
  </si>
  <si>
    <t>Head of FP&amp;A and Strategy</t>
  </si>
  <si>
    <t>Parents Leadership Council</t>
  </si>
  <si>
    <t>Venture Strategy Analyst</t>
  </si>
  <si>
    <t>M&amp;A Analyst Intern</t>
  </si>
  <si>
    <t>CAO</t>
  </si>
  <si>
    <t>Dottore Commercialista e Revisore Legale</t>
  </si>
  <si>
    <t>Senior Corporate Banking Analyst</t>
  </si>
  <si>
    <t>Investment Analyst Intern</t>
  </si>
  <si>
    <t>Sustainability and Innovation Officer</t>
  </si>
  <si>
    <t>International Business Senior Consultant</t>
  </si>
  <si>
    <t>Strategy Analyst Intern</t>
  </si>
  <si>
    <t>Technical Advisor to the Judge</t>
  </si>
  <si>
    <t>Product innovation and business director</t>
  </si>
  <si>
    <t>Group Chief Information Officer</t>
  </si>
  <si>
    <t>District manager</t>
  </si>
  <si>
    <t>Corporate Finance Intern</t>
  </si>
  <si>
    <t>Junior Aufitor</t>
  </si>
  <si>
    <t>Go-to-Market Strategy Senior Manager</t>
  </si>
  <si>
    <t>Language Teacher</t>
  </si>
  <si>
    <t>Consultant - Digital</t>
  </si>
  <si>
    <t>Strategic Planning Manager</t>
  </si>
  <si>
    <t>Assistant Designer</t>
  </si>
  <si>
    <t>Data Science Intern</t>
  </si>
  <si>
    <t>Junior Project Manager</t>
  </si>
  <si>
    <t>Quantitative Researcher - Credit</t>
  </si>
  <si>
    <t>Head of Bid Management</t>
  </si>
  <si>
    <t>Customer Success Consultant</t>
  </si>
  <si>
    <t>Quantitative Analyst</t>
  </si>
  <si>
    <t>Category Manager - Private Label</t>
  </si>
  <si>
    <t>Member of the Board of Directors</t>
  </si>
  <si>
    <t>Localizer Freelancer</t>
  </si>
  <si>
    <t>Account, Corporate &amp; Finance Area</t>
  </si>
  <si>
    <t>Marketing &amp; Accounting Intern</t>
  </si>
  <si>
    <t>ESG Consultant</t>
  </si>
  <si>
    <t>Investmetnt Comitee Member</t>
  </si>
  <si>
    <t>Senior HR Director</t>
  </si>
  <si>
    <t>Director Customer Relationship Management</t>
  </si>
  <si>
    <t>Agricoltore</t>
  </si>
  <si>
    <t>Chief Audit Executive</t>
  </si>
  <si>
    <t>Financial Audit Intern</t>
  </si>
  <si>
    <t>Graduate Research Intern</t>
  </si>
  <si>
    <t>Global Finance &amp; Trasformation Business Partner</t>
  </si>
  <si>
    <t>Head of Intenational HR Management Energy Evolution</t>
  </si>
  <si>
    <t>Internal Audit Head of IDV &amp; Astra, Firefighting, Latin America, and Special Projects</t>
  </si>
  <si>
    <t>Market Strategy Lead</t>
  </si>
  <si>
    <t>Founder &amp; Managing Director</t>
  </si>
  <si>
    <t>PoC Manager</t>
  </si>
  <si>
    <t>Business Developer Intern</t>
  </si>
  <si>
    <t>Risk Managment Intern</t>
  </si>
  <si>
    <t>Customer Lifecycle Leader</t>
  </si>
  <si>
    <t>Student Consultant Intern</t>
  </si>
  <si>
    <t>Executive Director, Equity Research, Luxury Goods &amp; Brands</t>
  </si>
  <si>
    <t>European Leverage Credit Sales - Vice President</t>
  </si>
  <si>
    <t>Retail Operations Specialist</t>
  </si>
  <si>
    <t>Business Controller Intern</t>
  </si>
  <si>
    <t>Digital Marketing Communications Manager</t>
  </si>
  <si>
    <t>CMO Nestle Iberia</t>
  </si>
  <si>
    <t>Relationship Banker</t>
  </si>
  <si>
    <t>Global Senior Manager</t>
  </si>
  <si>
    <t>Strategy Analyst</t>
  </si>
  <si>
    <t>Marketing and Communication Director</t>
  </si>
  <si>
    <t>Director of Private Equity</t>
  </si>
  <si>
    <t>Account manager</t>
  </si>
  <si>
    <t>Retail and Marketing Analyst</t>
  </si>
  <si>
    <t>Head of Group Executive Development Programs</t>
  </si>
  <si>
    <t>Head of Sales &amp; Strategic Partnership</t>
  </si>
  <si>
    <t>Off-Cycle Analyst</t>
  </si>
  <si>
    <t>Performance Improvement Consultant</t>
  </si>
  <si>
    <t>M&amp;A Analyst - Investment Banking</t>
  </si>
  <si>
    <t>Senior Agency Sales Manager</t>
  </si>
  <si>
    <t>Strategy &amp; Consulting Summer Intern</t>
  </si>
  <si>
    <t>Consultant, Corporate Finance Advisory</t>
  </si>
  <si>
    <t>Credit Risk Manager (Lat Am)</t>
  </si>
  <si>
    <t>Security Business Analyst</t>
  </si>
  <si>
    <t>Regional Product and Trade Marketing Manager, APAC</t>
  </si>
  <si>
    <t>Global Financial Planing &amp; Analysis</t>
  </si>
  <si>
    <t>Project Manager in Medical Portfolio</t>
  </si>
  <si>
    <t>Head of Investment Area</t>
  </si>
  <si>
    <t>Sales &amp; Development</t>
  </si>
  <si>
    <t>Head of Strategy and Planning</t>
  </si>
  <si>
    <t>International Growth Consultant</t>
  </si>
  <si>
    <t>Chairmen of the Board</t>
  </si>
  <si>
    <t>Sustainability Business Developer</t>
  </si>
  <si>
    <t>Academic Fellow in Public Law</t>
  </si>
  <si>
    <t>Corporate-M&amp;A Intern</t>
  </si>
  <si>
    <t>Private Equity Investment Professional</t>
  </si>
  <si>
    <t>External Advisor</t>
  </si>
  <si>
    <t>Investment Banking Professional</t>
  </si>
  <si>
    <t>Banking Associate</t>
  </si>
  <si>
    <t>Data Engineer</t>
  </si>
  <si>
    <t>Member of Special Friends of UNHCR board Italy</t>
  </si>
  <si>
    <t>Sumer Analyst</t>
  </si>
  <si>
    <t>Director, EMEA Infrastructure Funds Coverage</t>
  </si>
  <si>
    <t>Area Retail Manager</t>
  </si>
  <si>
    <t>Global Category Team Leader - IT Infrastructure Services &amp; Hardware</t>
  </si>
  <si>
    <t>CIB Off-Cycle Analyst</t>
  </si>
  <si>
    <t>Fixed Income Analyst</t>
  </si>
  <si>
    <t>Director, Head of Talent</t>
  </si>
  <si>
    <t>Key Account Manager</t>
  </si>
  <si>
    <t>M&amp;A - FIG Intern</t>
  </si>
  <si>
    <t>Off-Cycle Intern</t>
  </si>
  <si>
    <t>Investment Bankink Analyst</t>
  </si>
  <si>
    <t>Senior Investment Associate</t>
  </si>
  <si>
    <t>Head of Legal Area</t>
  </si>
  <si>
    <t>Head of Credit GPL</t>
  </si>
  <si>
    <t>Advertising Account Executive, amazonAds</t>
  </si>
  <si>
    <t>Corporate Finance Analyst</t>
  </si>
  <si>
    <t>Corporate Finance Origination</t>
  </si>
  <si>
    <t>Summer Business Analyst</t>
  </si>
  <si>
    <t>Quantitative Strategist - Associate</t>
  </si>
  <si>
    <t>Equity research analyst</t>
  </si>
  <si>
    <t>Technical Officer</t>
  </si>
  <si>
    <t>Assistant Interna Auditor</t>
  </si>
  <si>
    <t>Product Marketing Intern - Garnier Haircare</t>
  </si>
  <si>
    <t>Real Estate Investestment Management Analyst</t>
  </si>
  <si>
    <t>Postdoctoral researcher</t>
  </si>
  <si>
    <t>Auditor and Financial Advisor</t>
  </si>
  <si>
    <t>VP Sales: GCC &amp; Pakistan</t>
  </si>
  <si>
    <t>Head of Sales and Marketing Controlling, Strategic initiatives senior controller Face and Smartwool</t>
  </si>
  <si>
    <t>Head of ESG Projects</t>
  </si>
  <si>
    <t>Business Manager WeScan</t>
  </si>
  <si>
    <t>Sr Director, CRM &amp; Loyalty</t>
  </si>
  <si>
    <t>Policy officer</t>
  </si>
  <si>
    <t>Business Intern</t>
  </si>
  <si>
    <t>Equity &amp; Brokerage Sales Intern</t>
  </si>
  <si>
    <t>Strategy Consultant Intern</t>
  </si>
  <si>
    <t>Client Executive Partner</t>
  </si>
  <si>
    <t>Holding Co-Founder</t>
  </si>
  <si>
    <t>Mayer of Merate</t>
  </si>
  <si>
    <t>Global Princing and Portfolio Management</t>
  </si>
  <si>
    <t>Independent Consultant</t>
  </si>
  <si>
    <t>Commercial Finance for Energy Product Europe</t>
  </si>
  <si>
    <t>Advanced Business Consultant</t>
  </si>
  <si>
    <t>Global Finance Director</t>
  </si>
  <si>
    <t>National Sales Manager</t>
  </si>
  <si>
    <t>Cyber Security Consulting</t>
  </si>
  <si>
    <t>Sales Intern</t>
  </si>
  <si>
    <t>Senior Product Marketing Manager</t>
  </si>
  <si>
    <t>Project Management Intern</t>
  </si>
  <si>
    <t>Student Consultant</t>
  </si>
  <si>
    <t>VP of Banking and Inside Sales</t>
  </si>
  <si>
    <t>Rapprasentante per Italia</t>
  </si>
  <si>
    <t>Digital Marketing &amp; Advertising Manager</t>
  </si>
  <si>
    <t>Commercial Operations &amp; Pricing Manager</t>
  </si>
  <si>
    <t>PR and Communication / Partner</t>
  </si>
  <si>
    <t>Investment Bankling Off cycle</t>
  </si>
  <si>
    <t>Private Equity Summer Analyst</t>
  </si>
  <si>
    <t>Adjucent Lecturer</t>
  </si>
  <si>
    <t>GBS Customer Success Intern</t>
  </si>
  <si>
    <t>Real Estate, IT, PMO &amp; Process</t>
  </si>
  <si>
    <t>Junior Investment Analyst</t>
  </si>
  <si>
    <t>Senior Vice President &amp; General Manager International Business</t>
  </si>
  <si>
    <t>Product &amp; Validation Lead</t>
  </si>
  <si>
    <t>Private Equity Off-cycle analyst</t>
  </si>
  <si>
    <t>Assistant Professor in International Business and Economics</t>
  </si>
  <si>
    <t>Co-Chair of Global Investors Panel</t>
  </si>
  <si>
    <t>Head Of Products &amp; Services for SME</t>
  </si>
  <si>
    <t>Stageur</t>
  </si>
  <si>
    <t>Head of Finance and Controlling</t>
  </si>
  <si>
    <t>Manager of B2B Marketing</t>
  </si>
  <si>
    <t>Marketing and Control</t>
  </si>
  <si>
    <t>Investment and Asset Management Intern</t>
  </si>
  <si>
    <t>International Talent Program</t>
  </si>
  <si>
    <t>Portfolio Manager (Asset-Backed Securities)</t>
  </si>
  <si>
    <t>Communications &amp; Branding Manager</t>
  </si>
  <si>
    <t>Strategic Agency Manager</t>
  </si>
  <si>
    <t>Original Equipment Sales Director</t>
  </si>
  <si>
    <t>Financial Products Summer Intern</t>
  </si>
  <si>
    <t>Director at Amazon Italy and Spain</t>
  </si>
  <si>
    <t>Senior Manager, Head of Public Sector Business</t>
  </si>
  <si>
    <t>SIM consultant intern</t>
  </si>
  <si>
    <t>Group Budget and Financial Strategic Planning Intern</t>
  </si>
  <si>
    <t>Jr Client Executive-International Broking</t>
  </si>
  <si>
    <t>Head of Administration &amp; Strategic Marketing</t>
  </si>
  <si>
    <t>Scouting specialist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</si>
</sst>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yy"/>
  </numFmts>
  <fonts count="1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</font>
    <font>
      <u/>
      <sz val="12"/>
      <color theme="1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Aptos Narrow"/>
    </font>
    <font>
      <b/>
      <sz val="12"/>
      <color theme="1"/>
      <name val="Aptos Narrow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84FF"/>
        <bgColor indexed="64"/>
      </patternFill>
    </fill>
    <fill>
      <patternFill patternType="solid">
        <fgColor rgb="FF00FFEC"/>
        <bgColor indexed="64"/>
      </patternFill>
    </fill>
    <fill>
      <patternFill patternType="solid">
        <fgColor rgb="FFFF5E7B"/>
        <bgColor indexed="64"/>
      </patternFill>
    </fill>
    <fill>
      <patternFill patternType="solid">
        <fgColor rgb="FFB7C0FF"/>
        <bgColor indexed="64"/>
      </patternFill>
    </fill>
    <fill>
      <patternFill patternType="solid">
        <fgColor rgb="FFFF853E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3F48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7" fillId="0" borderId="0"/>
    <xf numFmtId="0" fontId="7" fillId="0" borderId="0"/>
  </cellStyleXfs>
  <cellXfs count="61">
    <xf numFmtId="0" fontId="0" fillId="0" borderId="0" xfId="0"/>
    <xf numFmtId="0" fontId="2" fillId="0" borderId="0" xfId="0" applyFont="1"/>
    <xf numFmtId="14" fontId="0" fillId="0" borderId="0" xfId="0" applyNumberFormat="1"/>
    <xf numFmtId="0" fontId="1" fillId="0" borderId="0" xfId="1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49" fontId="2" fillId="11" borderId="0" xfId="0" applyNumberFormat="1" applyFont="1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14" fontId="0" fillId="2" borderId="0" xfId="0" applyNumberFormat="1" applyFill="1"/>
    <xf numFmtId="14" fontId="3" fillId="0" borderId="0" xfId="0" applyNumberFormat="1" applyFont="1"/>
    <xf numFmtId="14" fontId="4" fillId="21" borderId="0" xfId="0" applyNumberFormat="1" applyFont="1" applyFill="1"/>
    <xf numFmtId="14" fontId="0" fillId="13" borderId="0" xfId="0" applyNumberFormat="1" applyFill="1"/>
    <xf numFmtId="0" fontId="0" fillId="0" borderId="0" xfId="0" applyAlignment="1">
      <alignment horizontal="center"/>
    </xf>
    <xf numFmtId="0" fontId="5" fillId="2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0" fillId="0" borderId="1" xfId="0" applyBorder="1"/>
    <xf numFmtId="1" fontId="0" fillId="0" borderId="0" xfId="0" applyNumberFormat="1"/>
    <xf numFmtId="0" fontId="8" fillId="0" borderId="0" xfId="0" applyFont="1"/>
    <xf numFmtId="0" fontId="10" fillId="23" borderId="0" xfId="0" applyFont="1" applyFill="1"/>
    <xf numFmtId="0" fontId="11" fillId="24" borderId="0" xfId="0" applyFont="1" applyFill="1"/>
    <xf numFmtId="0" fontId="9" fillId="25" borderId="0" xfId="0" applyFont="1" applyFill="1"/>
    <xf numFmtId="49" fontId="0" fillId="0" borderId="0" xfId="0" applyNumberFormat="1"/>
    <xf numFmtId="0" fontId="0" fillId="26" borderId="0" xfId="0" applyFill="1"/>
    <xf numFmtId="0" fontId="0" fillId="27" borderId="0" xfId="0" applyFill="1"/>
    <xf numFmtId="164" fontId="0" fillId="0" borderId="0" xfId="0" applyNumberFormat="1" applyAlignment="1">
      <alignment horizontal="right"/>
    </xf>
    <xf numFmtId="164" fontId="0" fillId="0" borderId="0" xfId="0" applyNumberFormat="1"/>
    <xf numFmtId="164" fontId="0" fillId="27" borderId="0" xfId="0" applyNumberFormat="1" applyFill="1" applyAlignment="1">
      <alignment horizontal="right"/>
    </xf>
    <xf numFmtId="164" fontId="0" fillId="3" borderId="0" xfId="0" applyNumberFormat="1" applyFill="1" applyAlignment="1">
      <alignment horizontal="right"/>
    </xf>
    <xf numFmtId="0" fontId="5" fillId="17" borderId="0" xfId="0" applyFont="1" applyFill="1"/>
    <xf numFmtId="49" fontId="5" fillId="17" borderId="0" xfId="0" applyNumberFormat="1" applyFont="1" applyFill="1"/>
    <xf numFmtId="0" fontId="12" fillId="16" borderId="0" xfId="0" applyFont="1" applyFill="1"/>
    <xf numFmtId="0" fontId="0" fillId="0" borderId="0" xfId="0" applyAlignment="1">
      <alignment vertical="top" wrapText="1"/>
    </xf>
    <xf numFmtId="49" fontId="0" fillId="0" borderId="0" xfId="0" applyNumberFormat="1" applyAlignment="1">
      <alignment horizontal="left"/>
    </xf>
    <xf numFmtId="164" fontId="5" fillId="17" borderId="0" xfId="0" applyNumberFormat="1" applyFont="1" applyFill="1"/>
    <xf numFmtId="164" fontId="0" fillId="0" borderId="0" xfId="0" applyNumberFormat="1" applyAlignment="1">
      <alignment horizontal="left"/>
    </xf>
    <xf numFmtId="49" fontId="0" fillId="0" borderId="2" xfId="0" applyNumberFormat="1" applyBorder="1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horizontal="right"/>
    </xf>
    <xf numFmtId="49" fontId="14" fillId="17" borderId="0" xfId="0" applyNumberFormat="1" applyFont="1" applyFill="1"/>
    <xf numFmtId="49" fontId="13" fillId="0" borderId="0" xfId="0" applyNumberFormat="1" applyFont="1"/>
    <xf numFmtId="0" fontId="5" fillId="17" borderId="3" xfId="0" applyFont="1" applyFill="1" applyBorder="1" applyAlignment="1">
      <alignment horizontal="center" vertical="top"/>
    </xf>
    <xf numFmtId="0" fontId="5" fillId="17" borderId="3" xfId="0" applyFont="1" applyFill="1" applyBorder="1" applyAlignment="1">
      <alignment horizontal="left" vertical="top"/>
    </xf>
    <xf numFmtId="0" fontId="5" fillId="17" borderId="0" xfId="0" applyFont="1" applyFill="1" applyAlignment="1">
      <alignment wrapText="1"/>
    </xf>
  </cellXfs>
  <cellStyles count="4">
    <cellStyle name="Hyperlink" xfId="1" builtinId="8"/>
    <cellStyle name="Normal" xfId="0" builtinId="0"/>
    <cellStyle name="Normal 2" xfId="2" xr:uid="{8F608B3E-9A5C-6644-A05B-A8CD560B42D5}"/>
    <cellStyle name="Normal 2 2" xfId="3" xr:uid="{F2CDC3D6-34B8-5A47-8548-2CA02DF9DB15}"/>
  </cellStyles>
  <dxfs count="1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7C0FF"/>
      <color rgb="FF73F48F"/>
      <color rgb="FFFF5E7B"/>
      <color rgb="FFFF853E"/>
      <color rgb="FFFFA56F"/>
      <color rgb="FF00FFEC"/>
      <color rgb="FFFF84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Zafer Ilkiz" id="{79DDDDCD-AC0A-B849-B74F-1B44CF7F5383}" userId="S::zafer.ilkiz@jeme.it::5b65bb1b-469d-43dc-88d6-00820490d74c" providerId="AD"/>
  <person displayName="Summer Cameron" id="{A4D688E5-3438-194D-94E8-972B1E81D666}" userId="S::summer.cameron@jeme.it::3f23f500-6662-4b59-bd46-52cb485e7729" providerId="AD"/>
  <person displayName="Giacomo Pirrone" id="{05BBC762-96B4-FC42-8C85-05AE2ECA8055}" userId="S::giacomo.pirrone@jeme.it::7e2386f6-79db-4dea-b74e-d20c5c3f6a3c" providerId="AD"/>
  <person displayName="Joao Pedro Vieira" id="{F86F1615-4CA5-4AF0-9BBA-58C6C26F77C0}" userId="S::joaopedro.vieira@jeme.it::6f97f28a-1e2a-4c93-8938-24d3a95400ab" providerId="AD"/>
  <person displayName="Filippo Locatelli" id="{DDAA498C-F482-0746-806D-6B91F64334BD}" userId="S::filippo.locatelli@jeme.it::651aedc7-5763-4062-bcf8-ac6ea97c0eb5" providerId="AD"/>
  <person displayName="Georgi Grancharov" id="{CC5D4DBC-FF69-A342-AF32-75C16F9F629A}" userId="S::georgi.grancharov@jeme.it::5a85037d-2456-4805-b887-bf0f9b57e908" providerId="AD"/>
  <person displayName="Riccardo Baldelli" id="{5067E1E6-D10E-AC45-9B88-7069DDEB4D6C}" userId="S::riccardo.baldelli@jeme.it::2ecfe342-6d05-407c-850f-73e79cba1c28" providerId="AD"/>
  <person displayName="Tommaso Primavera" id="{C80DA56B-AC57-7145-86F5-0B428028D0FE}" userId="S::tommaso.primavera@jeme.it::1aade826-349f-4175-b920-6f6f2d7440da" providerId="AD"/>
  <person displayName="Siddharth Shivakumar" id="{5B7757AC-8281-4344-A03B-E0BDE782183C}" userId="S::siddharth.shivakumar@jeme.it::8cb4be75-74dc-4b74-8b64-bdc3700de6c6" providerId="AD"/>
  <person displayName="SIDDHARTH GOLLARAHALLI SHIVAKUMAR" id="{0304A1E9-F7CB-F848-8FE4-C04EE92A35A5}" userId="S::siddharth.gollarahalli@studbocconi.it::cb74f5a3-b72f-469a-bae0-772e964eaf18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C3" dT="2026-01-14T04:21:35.48" personId="{5067E1E6-D10E-AC45-9B88-7069DDEB4D6C}" id="{DF1F7913-C789-9046-867A-D682150745B9}" done="1">
    <text>I found it on LinkedIn: feb 2022 - mar 2023</text>
  </threadedComment>
  <threadedComment ref="AC14" dT="2026-01-14T11:50:05.62" personId="{5067E1E6-D10E-AC45-9B88-7069DDEB4D6C}" id="{DD7B39BD-E829-A94E-ABFD-BBD32DA9E15D}" done="1">
    <text>I found it on LinkedIn: oct 2022 - sept 2025</text>
  </threadedComment>
  <threadedComment ref="B18" dT="2026-01-16T16:55:59.35" personId="{79DDDDCD-AC0A-B849-B74F-1B44CF7F5383}" id="{2796D271-8F1D-4040-B013-086DCBB1B350}" done="1">
    <text>Her JEME number is 131</text>
  </threadedComment>
  <threadedComment ref="N25" dT="2026-01-13T22:06:18.20" personId="{C80DA56B-AC57-7145-86F5-0B428028D0FE}" id="{5D3E694C-D472-C44C-8C32-3B24F2F6D9BD}">
    <text>Middle?</text>
  </threadedComment>
  <threadedComment ref="N25" dT="2026-01-14T13:07:14.70" personId="{05BBC762-96B4-FC42-8C85-05AE2ECA8055}" id="{BC073E90-C9A5-784A-9A68-0339A521C024}" parentId="{5D3E694C-D472-C44C-8C32-3B24F2F6D9BD}">
    <text>In the others coloumns vice president is a C-Level but IDK</text>
  </threadedComment>
  <threadedComment ref="AC26" dT="2026-01-24T12:46:29.85" personId="{05BBC762-96B4-FC42-8C85-05AE2ECA8055}" id="{30EFDCB0-1D1B-4F4F-81DB-803286FC6BA8}">
    <text>He studied at Bocconi around 2019-2020 but the correct date is not avaiable</text>
  </threadedComment>
  <threadedComment ref="AC27" dT="2026-01-16T17:12:23.35" personId="{5B7757AC-8281-4344-A03B-E0BDE782183C}" id="{B7C7AD8D-639B-1A40-B6D9-0028DFE92814}">
    <text>10/01/2021 - 01/01/2023</text>
  </threadedComment>
  <threadedComment ref="AC29" dT="2026-01-15T03:23:50.80" personId="{5067E1E6-D10E-AC45-9B88-7069DDEB4D6C}" id="{EDEBC2A5-C47F-C447-92CF-447B841A3711}" done="1">
    <text>I found it on LinkedIn: oct 2022 - jun 2025</text>
  </threadedComment>
  <threadedComment ref="AD31" dT="2026-01-14T21:05:22.10" personId="{DDAA498C-F482-0746-806D-6B91F64334BD}" id="{3035B04F-2D5A-BD4B-AB5E-5CB8B2DBFAD0}" done="1">
    <text>When did she leave JEME?</text>
  </threadedComment>
  <threadedComment ref="AC45" dT="2026-01-14T11:48:25.64" personId="{5067E1E6-D10E-AC45-9B88-7069DDEB4D6C}" id="{7B38ABED-D6DE-4440-B1AD-E65500913EB1}" done="1">
    <text>I found it on LinkedIn: oct 2022 - aug 2025</text>
  </threadedComment>
  <threadedComment ref="AC71" dT="2026-01-16T15:51:48.27" personId="{5B7757AC-8281-4344-A03B-E0BDE782183C}" id="{7C12A17F-4160-9B42-B979-8C5500927D08}">
    <text xml:space="preserve">03/01/2008 - 10/01/2010
</text>
  </threadedComment>
  <threadedComment ref="AC78" dT="2026-01-14T11:56:05.83" personId="{5067E1E6-D10E-AC45-9B88-7069DDEB4D6C}" id="{0E72F1DF-E385-CD49-97F9-E24E6554AFD0}" done="1">
    <text>I found it on LinkedIn: oct 2022 - sept 2025</text>
  </threadedComment>
  <threadedComment ref="AC88" dT="2026-01-16T17:20:35.05" personId="{5B7757AC-8281-4344-A03B-E0BDE782183C}" id="{B5E4904C-0F97-BB48-BE87-D0DDC22FD26C}" done="1">
    <text>10/01/2002 - 12/01/2004</text>
  </threadedComment>
  <threadedComment ref="AC92" dT="2026-01-14T04:20:37.88" personId="{5067E1E6-D10E-AC45-9B88-7069DDEB4D6C}" id="{6F532689-8F17-A349-B63A-61E210DDB946}" done="1">
    <text>I found it on LinkedIn: jun 2020 - feb 2023</text>
  </threadedComment>
  <threadedComment ref="AC102" dT="2026-01-24T12:32:51.34" personId="{05BBC762-96B4-FC42-8C85-05AE2ECA8055}" id="{886B08FA-8E43-6947-8A58-982F0F93C381}">
    <text>She studied at bocconi from 2016 to 2020, but the date in which she joined JEME is not avaiable</text>
  </threadedComment>
  <threadedComment ref="AC109" dT="2026-01-15T03:14:48.16" personId="{5067E1E6-D10E-AC45-9B88-7069DDEB4D6C}" id="{6E56B350-E707-FB4F-97EB-25B18E125551}" done="1">
    <text>I found it on LinkedIn: feb 2024 - jun 2025</text>
  </threadedComment>
  <threadedComment ref="N110" dT="2026-01-16T16:01:46.88" personId="{5B7757AC-8281-4344-A03B-E0BDE782183C}" id="{6C7114C9-EDBD-4644-A945-AFABBCB4BC6B}" done="1">
    <text xml:space="preserve">Considering she graduated in 2003, Id say its more C-level
</text>
  </threadedComment>
  <threadedComment ref="AC112" dT="2026-01-14T20:30:44.92" personId="{DDAA498C-F482-0746-806D-6B91F64334BD}" id="{F5ABAEE9-2957-544C-8FCC-A2719BF538B7}" done="1">
    <text>2015 not 2016</text>
  </threadedComment>
  <threadedComment ref="AC115" dT="2026-01-14T03:47:24.99" personId="{5067E1E6-D10E-AC45-9B88-7069DDEB4D6C}" id="{FA37057F-6CC6-4841-9F36-CA81A8430653}" done="1">
    <text>I found it on LinkedIn: June 2022 - August 2024</text>
  </threadedComment>
  <threadedComment ref="AD117" dT="2026-01-14T20:27:47.50" personId="{DDAA498C-F482-0746-806D-6B91F64334BD}" id="{29DB0D30-1375-9F4D-8CEA-F789B32F220D}" done="1">
    <text>2010 not 2007</text>
  </threadedComment>
  <threadedComment ref="AC122" dT="2026-01-16T03:03:44.91" personId="{5067E1E6-D10E-AC45-9B88-7069DDEB4D6C}" id="{DB0EA043-3E05-5149-AF13-2EFEF9236FB6}" done="1">
    <text>I found it on LinkedIn: oct 2021 - oct 2023</text>
  </threadedComment>
  <threadedComment ref="AC129" dT="2026-01-14T12:02:11.65" personId="{5067E1E6-D10E-AC45-9B88-7069DDEB4D6C}" id="{DE5A5CE7-0803-5D43-98B4-B7731B6051E6}" done="1">
    <text>I found it on LinkedIn: mar 2023 - jan 2025</text>
  </threadedComment>
  <threadedComment ref="AC133" dT="2026-01-16T09:40:24.19" personId="{CC5D4DBC-FF69-A342-AF32-75C16F9F629A}" id="{4D6C2988-CF87-F244-BACB-674DCA071399}" done="1">
    <text xml:space="preserve">Year entry was 2002 in the books
</text>
  </threadedComment>
  <threadedComment ref="AC160" dT="2026-01-15T03:17:36.91" personId="{5067E1E6-D10E-AC45-9B88-7069DDEB4D6C}" id="{9C8053B1-F914-D34A-920A-B80215BDEAD9}" done="1">
    <text>I found it on LinkedIn: sep 2023 - sep 2025</text>
  </threadedComment>
  <threadedComment ref="AD167" dT="2026-01-15T19:46:03.49" personId="{A4D688E5-3438-194D-94E8-972B1E81D666}" id="{11B7E1FD-CE70-4548-9F2C-A3C3F2C24C1F}" done="1">
    <text>June 2020</text>
  </threadedComment>
  <threadedComment ref="AC168" dT="2026-01-15T03:28:01.42" personId="{5067E1E6-D10E-AC45-9B88-7069DDEB4D6C}" id="{15FCE882-A3A6-924D-BAA1-AAE180808AC7}" done="1">
    <text>I found it on LinkedIn: sec 2022 - jun 2025</text>
  </threadedComment>
  <threadedComment ref="AC179" dT="2026-01-14T02:33:21.87" personId="{5067E1E6-D10E-AC45-9B88-7069DDEB4D6C}" id="{FCE54719-D22D-934E-8E11-ED2C523DB6D9}" done="1">
    <text>I find it on LinkedIn 
Mar 2005 - Feb 2008</text>
  </threadedComment>
  <threadedComment ref="AC188" dT="2026-01-16T14:45:59.14" personId="{F86F1615-4CA5-4AF0-9BBA-58C6C26F77C0}" id="{369A2BD2-BFF8-4640-B648-1AA1F6790BDB}" done="1">
    <text>The LinkedIn experience section has the dates</text>
  </threadedComment>
  <threadedComment ref="AC190" dT="2026-01-15T08:15:42.61" personId="{5067E1E6-D10E-AC45-9B88-7069DDEB4D6C}" id="{9410DEA0-0BA6-E54D-A518-5F497ACD8E2C}" done="1">
    <text>I found it on LinkedIn: mar 2020 - dic 2023</text>
  </threadedComment>
  <threadedComment ref="AC191" dT="2026-01-16T19:08:04.88" personId="{F86F1615-4CA5-4AF0-9BBA-58C6C26F77C0}" id="{4E49069C-C967-4F9A-A94F-3CF48C8EA54F}" done="1">
    <text>2020</text>
  </threadedComment>
  <threadedComment ref="AD194" dT="2026-01-14T21:16:51.47" personId="{DDAA498C-F482-0746-806D-6B91F64334BD}" id="{6FDD8424-FD7F-374F-AF99-19CCB990D0A2}" done="1">
    <text>2006 not 2007</text>
  </threadedComment>
  <threadedComment ref="AC199" dT="2026-01-16T00:49:13.05" personId="{5067E1E6-D10E-AC45-9B88-7069DDEB4D6C}" id="{4013B61E-499F-C242-B140-23994F0AF6EB}" done="1">
    <text>I found it on LinkedIn: feb 2021 - jan 2023</text>
  </threadedComment>
  <threadedComment ref="AD202" dT="2026-01-16T10:02:22.43" personId="{CC5D4DBC-FF69-A342-AF32-75C16F9F629A}" id="{0831AC59-A6C6-F149-81E4-E18112299A2A}" done="1">
    <text xml:space="preserve">On LinkedIn it is written May 2005
</text>
  </threadedComment>
  <threadedComment ref="AC204" dT="2026-01-16T00:52:13.90" personId="{5067E1E6-D10E-AC45-9B88-7069DDEB4D6C}" id="{425F3CB2-F57C-0041-9747-783E52A25669}" done="1">
    <text>I found it on LinkedIn: feb 2023 - jun 2024</text>
  </threadedComment>
  <threadedComment ref="AC205" dT="2026-01-16T04:19:41.58" personId="{5067E1E6-D10E-AC45-9B88-7069DDEB4D6C}" id="{90DBFD02-DE20-114B-B7F9-22081FBBE277}" done="1">
    <text>I found it on LinkedIn: oct 2021 - feb 2024</text>
  </threadedComment>
  <threadedComment ref="AD210" dT="2026-01-16T09:54:45.79" personId="{CC5D4DBC-FF69-A342-AF32-75C16F9F629A}" id="{78643BFE-0466-C94E-8205-E8E2A97E815E}" done="1">
    <text xml:space="preserve">Probably until 1995, that’s when she graduated
</text>
  </threadedComment>
  <threadedComment ref="AD211" dT="2026-01-16T18:06:24.29" personId="{CC5D4DBC-FF69-A342-AF32-75C16F9F629A}" id="{C0BF1208-FE37-FC47-93C9-4B22A0722BE2}" done="1">
    <text xml:space="preserve">2018
</text>
  </threadedComment>
  <threadedComment ref="AC213" dT="2026-01-15T03:21:14.95" personId="{5067E1E6-D10E-AC45-9B88-7069DDEB4D6C}" id="{275CAC87-6228-8949-9906-C0A6D46B73F8}" done="1">
    <text>I found it on LinkedIn: jun 2023 - jun 2025</text>
  </threadedComment>
  <threadedComment ref="AC229" dT="2026-01-14T03:53:33.90" personId="{5067E1E6-D10E-AC45-9B88-7069DDEB4D6C}" id="{66627BDE-25DE-1C46-9EA4-60D8CC42668E}" done="1">
    <text>I found it on LinkedIn: jan 2021 - apr 2022</text>
  </threadedComment>
  <threadedComment ref="N234" dT="2026-01-13T16:17:53.88" personId="{5B7757AC-8281-4344-A03B-E0BDE782183C}" id="{92C00B3E-6F6A-904D-A158-3DA45020EDBB}" done="1">
    <text>C level</text>
  </threadedComment>
  <threadedComment ref="AC235" dT="2026-01-16T19:21:06.48" personId="{F86F1615-4CA5-4AF0-9BBA-58C6C26F77C0}" id="{E8F323AB-882F-4879-827F-556269CDC9AC}" done="1">
    <text>2018-2022</text>
  </threadedComment>
  <threadedComment ref="AD238" dT="2026-01-15T19:09:43.21" personId="{A4D688E5-3438-194D-94E8-972B1E81D666}" id="{E90C706C-A2D3-42FA-AE73-58ADFFA67BDF}" done="1">
    <text>April 1st, 2022</text>
  </threadedComment>
  <threadedComment ref="AC244" dT="2026-01-15T19:02:59.64" personId="{A4D688E5-3438-194D-94E8-972B1E81D666}" id="{0D7F7A2C-D16C-4488-B1FE-8B6543C1E4DD}" done="1">
    <text>November 1st, 2019</text>
  </threadedComment>
  <threadedComment ref="AD244" dT="2026-01-15T19:03:11.28" personId="{A4D688E5-3438-194D-94E8-972B1E81D666}" id="{3E4B5ACB-12D1-43C3-AFBF-EF42F532BCBC}" done="1">
    <text>September 1st, 2020</text>
  </threadedComment>
  <threadedComment ref="AC250" dT="2026-01-16T00:42:42.63" personId="{5067E1E6-D10E-AC45-9B88-7069DDEB4D6C}" id="{D516165E-4D65-464A-AB25-4BC7ECA70077}" done="1">
    <text>I found it on LinkedIn: jan 2022 - sep 2024</text>
  </threadedComment>
  <threadedComment ref="AC257" dT="2026-01-14T23:14:57.63" personId="{DDAA498C-F482-0746-806D-6B91F64334BD}" id="{16DDCEBB-64FE-A54A-A21F-646013DE662A}" done="1">
    <text>1996 not just 1997</text>
  </threadedComment>
  <threadedComment ref="AC262" dT="2026-01-16T00:47:40.70" personId="{5067E1E6-D10E-AC45-9B88-7069DDEB4D6C}" id="{4A8CA591-1F85-5948-B9B1-39129F69CEF9}" done="1">
    <text>I found it on LinkedIn: mar 2022 - jan 2024</text>
  </threadedComment>
  <threadedComment ref="AD270" dT="2026-01-16T17:56:06.88" personId="{CC5D4DBC-FF69-A342-AF32-75C16F9F629A}" id="{206E62E8-3EE8-9448-AD74-BB38AA5FE716}" done="1">
    <text>Oct 2018</text>
  </threadedComment>
  <threadedComment ref="AC272" dT="2026-01-16T02:58:55.39" personId="{5067E1E6-D10E-AC45-9B88-7069DDEB4D6C}" id="{C3983333-EA3E-7444-858F-0AE85AAF2FB2}" done="1">
    <text xml:space="preserve">I found it on LinkedIn: mar 2022 - sep 2024
</text>
  </threadedComment>
  <threadedComment ref="AC274" dT="2026-01-16T15:55:09.50" personId="{5B7757AC-8281-4344-A03B-E0BDE782183C}" id="{010B9832-092F-1C45-9E0A-DE49B3D40223}" done="1">
    <text>Inconsistent Formatting, stick to mm/dd/yyyy</text>
  </threadedComment>
  <threadedComment ref="AD274" dT="2026-01-16T15:55:18.80" personId="{5B7757AC-8281-4344-A03B-E0BDE782183C}" id="{CD6CBAB9-078F-E445-A432-0F0FF06DDB94}" done="1">
    <text>2007</text>
  </threadedComment>
  <threadedComment ref="AC294" dT="2026-01-16T18:01:24.29" personId="{F86F1615-4CA5-4AF0-9BBA-58C6C26F77C0}" id="{27A0B3D2-BCF6-4BE9-B951-7B2397FC2BF3}" done="1">
    <text>Are we sure? He put it under his master’s only, which began in 2019</text>
  </threadedComment>
  <threadedComment ref="AC294" dT="2026-01-28T12:53:10.57" personId="{5067E1E6-D10E-AC45-9B88-7069DDEB4D6C}" id="{C3DA9CE3-45EC-0D4B-A66F-6682B4DA4C50}" parentId="{27A0B3D2-BCF6-4BE9-B951-7B2397FC2BF3}">
    <text>It was already there</text>
  </threadedComment>
  <threadedComment ref="AC301" dT="2026-01-16T00:45:39.14" personId="{5067E1E6-D10E-AC45-9B88-7069DDEB4D6C}" id="{28F683DC-EB31-4448-A02C-F11FBEF1D242}" done="1">
    <text>I found it on LinkedIn: mar 2021 - apr 2023</text>
  </threadedComment>
  <threadedComment ref="AC307" dT="2026-01-16T19:28:09.07" personId="{F86F1615-4CA5-4AF0-9BBA-58C6C26F77C0}" id="{C9304791-93D2-47A6-982A-1717B1FDD628}" done="1">
    <text>2019-2021</text>
  </threadedComment>
  <threadedComment ref="AD312" dT="2026-01-16T15:58:09.08" personId="{F86F1615-4CA5-4AF0-9BBA-58C6C26F77C0}" id="{3BEEAEAA-EC07-45E3-A956-FC862D290558}" done="1">
    <text>She graduated in 2003</text>
  </threadedComment>
  <threadedComment ref="N320" dT="2026-01-13T15:18:01.92" personId="{5B7757AC-8281-4344-A03B-E0BDE782183C}" id="{CADCC2C1-EF92-0E4D-B716-1A39AFFBBC75}" done="1">
    <text xml:space="preserve">C Level
</text>
  </threadedComment>
  <threadedComment ref="AC321" dT="2026-01-16T17:16:36.60" personId="{5B7757AC-8281-4344-A03B-E0BDE782183C}" id="{9F0733AD-7E12-D542-B2F1-4D70D9B9EC68}" done="1">
    <text>12/01/2012 - 12/01/2016</text>
  </threadedComment>
  <threadedComment ref="AD327" dT="2026-01-14T21:04:26.49" personId="{DDAA498C-F482-0746-806D-6B91F64334BD}" id="{0D5604DF-ECA4-9B44-BE58-C68E137BFA2F}" done="1">
    <text>2021</text>
  </threadedComment>
  <threadedComment ref="AC328" dT="2026-01-16T17:29:10.98" personId="{5B7757AC-8281-4344-A03B-E0BDE782183C}" id="{E4511408-A473-DE4C-971F-9BB0ADC32C4D}">
    <text>01/01/2019 - 12/01/2021</text>
  </threadedComment>
  <threadedComment ref="AC348" dT="2026-01-16T16:05:05.16" personId="{F86F1615-4CA5-4AF0-9BBA-58C6C26F77C0}" id="{634D6153-6BA2-4C7F-B5CC-34C782CB4C4D}" done="1">
    <text>2018-2020, under his volunteering on linkedin</text>
  </threadedComment>
  <threadedComment ref="AC359" dT="2026-01-15T08:12:02.19" personId="{5067E1E6-D10E-AC45-9B88-7069DDEB4D6C}" id="{4CB0C21F-B935-5E43-B111-F6D70C8593EC}" done="1">
    <text>I found it on LinkedIn: mar 2022 - mar 2023</text>
  </threadedComment>
  <threadedComment ref="AJ375" dT="2026-01-15T18:05:45.27" personId="{A4D688E5-3438-194D-94E8-972B1E81D666}" id="{E9759F8F-4283-4B94-AC9C-B3290D8C22D6}" done="1">
    <text>Not found in Alumni Book so dates of entry are unknown (Should be between 2013-2018 as this was time period she attended Bocconi)</text>
  </threadedComment>
  <threadedComment ref="AC381" dT="2026-01-15T03:40:10.55" personId="{5067E1E6-D10E-AC45-9B88-7069DDEB4D6C}" id="{2E643F50-DB6F-D740-B778-3B006A40A45D}" done="1">
    <text>I found it on LinkedIn: sep 2022 - may 2025</text>
  </threadedComment>
  <threadedComment ref="AC385" dT="2026-01-16T17:14:47.17" personId="{5B7757AC-8281-4344-A03B-E0BDE782183C}" id="{BD42DB42-D461-5B47-BAA8-C5FB88EF875D}">
    <text>03/01/2020 - 06/01/2022</text>
  </threadedComment>
  <threadedComment ref="AC386" dT="2026-01-14T02:14:57.79" personId="{5067E1E6-D10E-AC45-9B88-7069DDEB4D6C}" id="{3B1D5485-CA55-B04F-A179-360795F2CADA}" done="1">
    <text>Found it on LinkedIn</text>
  </threadedComment>
  <threadedComment ref="AC386" dT="2026-01-14T02:25:38.12" personId="{5067E1E6-D10E-AC45-9B88-7069DDEB4D6C}" id="{8632515A-C318-CB4C-8F84-536CD281C329}" parentId="{3B1D5485-CA55-B04F-A179-360795F2CADA}">
    <text xml:space="preserve">01/03/22
01/04/24
</text>
  </threadedComment>
  <threadedComment ref="AC396" dT="2026-01-16T17:39:31.66" personId="{5B7757AC-8281-4344-A03B-E0BDE782183C}" id="{4382DE6D-CF5E-5041-B96A-13260CEEDEDA}" done="1">
    <text>10/01/2012 - 06/01/2015</text>
  </threadedComment>
  <threadedComment ref="AC408" dT="2025-12-30T17:15:16.34" personId="{C80DA56B-AC57-7145-86F5-0B428028D0FE}" id="{3451E2BA-1394-F24B-9955-B58680AE5851}" done="1">
    <text xml:space="preserve">probably wrong
</text>
  </threadedComment>
  <threadedComment ref="AC410" dT="2026-01-16T15:34:59.50" personId="{CC5D4DBC-FF69-A342-AF32-75C16F9F629A}" id="{1197E33B-9EE7-EF4E-A802-A2755738FF1A}">
    <text>These might not be the appropriate dates, her name is not mentioned in the alumni list until 2014</text>
  </threadedComment>
  <threadedComment ref="AC415" dT="2026-01-15T03:46:04.81" personId="{5067E1E6-D10E-AC45-9B88-7069DDEB4D6C}" id="{4E046ADC-ADF6-B54F-A54B-7E059BB42011}" done="1">
    <text>I found it on LinkedIn: nov 2023 - feb 2025</text>
  </threadedComment>
  <threadedComment ref="AC418" dT="2026-01-16T04:20:27.12" personId="{5067E1E6-D10E-AC45-9B88-7069DDEB4D6C}" id="{48D6E4DE-5640-AE40-AB0A-DD971973A154}" done="1">
    <text>I found it on LinkedIn: oct 2022 - jul 2024</text>
  </threadedComment>
  <threadedComment ref="AC419" dT="2026-01-16T04:23:57.55" personId="{5067E1E6-D10E-AC45-9B88-7069DDEB4D6C}" id="{4C8B6415-F71C-3E4B-BE2E-82D2010193BE}" done="1">
    <text>I found it on LinkedIn: jun 2022 - jun 2024</text>
  </threadedComment>
  <threadedComment ref="B424" dT="2026-01-13T00:48:23.43" personId="{05BBC762-96B4-FC42-8C85-05AE2ECA8055}" id="{6F9DF312-BA71-224E-9AA6-BB949712221C}" done="1">
    <text>Is 243</text>
  </threadedComment>
  <threadedComment ref="AC426" dT="2026-01-16T04:09:44.89" personId="{5067E1E6-D10E-AC45-9B88-7069DDEB4D6C}" id="{317AA926-3F40-7848-B790-F665F6EAF117}" done="1">
    <text>I found it on LinkedIn: jun 2023 - apr 2025</text>
  </threadedComment>
  <threadedComment ref="AC433" dT="2026-01-14T11:58:22.19" personId="{5067E1E6-D10E-AC45-9B88-7069DDEB4D6C}" id="{56B8352C-E61D-A047-B890-903F6A3F101A}" done="1">
    <text>I found it on LinkedIn: jan 2024 - sept 2025</text>
  </threadedComment>
  <threadedComment ref="AC436" dT="2026-01-14T02:31:10.76" personId="{5067E1E6-D10E-AC45-9B88-7069DDEB4D6C}" id="{BF4C431B-8CB7-5249-8292-028AD53BFCAA}" done="1">
    <text>I find it on LinkedIn 
Ott 2022 - presente</text>
  </threadedComment>
  <threadedComment ref="AD439" dT="2026-01-14T20:28:04.12" personId="{DDAA498C-F482-0746-806D-6B91F64334BD}" id="{33224AB1-7DCD-8A43-B3AB-499903B5622C}" done="1">
    <text>When did he left JEME?</text>
  </threadedComment>
  <threadedComment ref="AD440" dT="2026-01-14T19:49:53.05" personId="{DDAA498C-F482-0746-806D-6B91F64334BD}" id="{6D52C73F-0E62-6A4E-AD6E-EE828824E245}" done="1">
    <text>In which year he left JEME?</text>
  </threadedComment>
  <threadedComment ref="AC441" dT="2026-01-16T17:15:48.57" personId="{CC5D4DBC-FF69-A342-AF32-75C16F9F629A}" id="{48EDF17E-42A4-2F47-80A2-06E0CB86A603}" done="1">
    <text>On LinkedIn it says 2018-2018, I suppose he started 2018, seeing he was also a President</text>
  </threadedComment>
  <threadedComment ref="AC443" dT="2026-01-15T08:15:07.21" personId="{5067E1E6-D10E-AC45-9B88-7069DDEB4D6C}" id="{41878184-C7D4-1C44-8973-D127E82105EE}" done="1">
    <text>I found it on LinkedIn: feb 2021 - jul 2023</text>
  </threadedComment>
  <threadedComment ref="AC450" dT="2026-01-16T00:44:49.50" personId="{5067E1E6-D10E-AC45-9B88-7069DDEB4D6C}" id="{122C05D5-7F9A-6643-9EFD-D31C04D0083D}" done="1">
    <text>I found it on LinkedIn: feb 2020 - oct 2023</text>
  </threadedComment>
  <threadedComment ref="AD457" dT="2026-01-14T20:12:56.42" personId="{DDAA498C-F482-0746-806D-6B91F64334BD}" id="{F4E0778F-3675-154E-B68F-351036A8A030}" done="1">
    <text>In which year he left JEME?</text>
  </threadedComment>
  <threadedComment ref="B466" dT="2026-01-15T20:36:48.06" personId="{A4D688E5-3438-194D-94E8-972B1E81D666}" id="{2E7F9DB0-47B2-44A4-BB2F-86C04A903DDA}" done="1">
    <text>184</text>
  </threadedComment>
  <threadedComment ref="AC468" dT="2026-01-14T02:11:23.04" personId="{5067E1E6-D10E-AC45-9B88-7069DDEB4D6C}" id="{8BFE7622-D2EE-EA49-8397-2001BF95FB1C}" done="1">
    <text>I found it on LinkedIn</text>
  </threadedComment>
  <threadedComment ref="AC468" dT="2026-01-14T02:24:35.56" personId="{5067E1E6-D10E-AC45-9B88-7069DDEB4D6C}" id="{47BD7776-19E4-164E-B65F-372597E332C8}" parentId="{8BFE7622-D2EE-EA49-8397-2001BF95FB1C}">
    <text xml:space="preserve">01/02/2021
</text>
  </threadedComment>
  <threadedComment ref="AD468" dT="2026-01-14T02:02:57.11" personId="{5067E1E6-D10E-AC45-9B88-7069DDEB4D6C}" id="{AD5694D0-477E-A14E-AA47-AEFCC4B9801C}">
    <text>I estimate it through LinkedIn</text>
  </threadedComment>
  <threadedComment ref="AD468" dT="2026-01-14T02:24:49.21" personId="{5067E1E6-D10E-AC45-9B88-7069DDEB4D6C}" id="{1388ED0A-0124-434C-A49F-F855306A9E51}" parentId="{AD5694D0-477E-A14E-AA47-AEFCC4B9801C}">
    <text xml:space="preserve">01/01/2025
</text>
  </threadedComment>
  <threadedComment ref="N470" dT="2026-01-25T03:48:09.48" personId="{0304A1E9-F7CB-F848-8FE4-C04EE92A35A5}" id="{C18BCB44-2547-364F-B20D-C0D7F0ECE3F6}">
    <text>Middle?</text>
  </threadedComment>
  <threadedComment ref="B471" dT="2026-01-13T15:42:06.05" personId="{5B7757AC-8281-4344-A03B-E0BDE782183C}" id="{28D22E4E-D479-1F4A-939E-3D9E32BF620A}" done="1">
    <text>183</text>
  </threadedComment>
  <threadedComment ref="AC486" dT="2026-01-24T12:41:56.80" personId="{05BBC762-96B4-FC42-8C85-05AE2ECA8055}" id="{D26B38C2-0587-D741-BAF6-C494DBB99FD3}">
    <text>Based on Linkedin</text>
  </threadedComment>
  <threadedComment ref="AC488" dT="2026-01-14T02:26:44.83" personId="{5067E1E6-D10E-AC45-9B88-7069DDEB4D6C}" id="{C974E983-6299-544E-AEFB-39C9D3FB74B1}" done="1">
    <text>I find it on LinkedIn
01/01/2022 - 01/09/2023</text>
  </threadedComment>
  <threadedComment ref="N493" dT="2026-01-14T19:57:58.19" personId="{DDAA498C-F482-0746-806D-6B91F64334BD}" id="{39FA2538-E76C-2449-BF86-6A1AF25DA3F1}" done="1">
    <text>I would assume that it is a middle seniority role not a C level. Are we sure that it can be considered as a C level?</text>
  </threadedComment>
  <threadedComment ref="B499" dT="2026-01-13T14:28:48.75" personId="{05BBC762-96B4-FC42-8C85-05AE2ECA8055}" id="{6126514C-D58F-4048-925D-5EC1B70CF140}" done="1">
    <text>359</text>
  </threadedComment>
  <threadedComment ref="AC509" dT="2026-01-16T03:00:04.18" personId="{5067E1E6-D10E-AC45-9B88-7069DDEB4D6C}" id="{1C8BD529-C2C6-FD4C-9F4D-9BD4582E030D}" done="1">
    <text>I found it on LinkedIn: 2020 - 2025</text>
  </threadedComment>
  <threadedComment ref="AD510" dT="2026-01-16T15:55:05.31" personId="{F86F1615-4CA5-4AF0-9BBA-58C6C26F77C0}" id="{FDFC2B06-9B34-48D1-8ACA-E235C4611052}" done="1">
    <text>2023</text>
  </threadedComment>
  <threadedComment ref="AC514" dT="2026-01-15T03:31:45.47" personId="{5067E1E6-D10E-AC45-9B88-7069DDEB4D6C}" id="{72898B1C-1367-2A40-AA93-85329BBE7C1D}" done="1">
    <text>I found it on LinkedIn: oct 2023 - jun 2025</text>
  </threadedComment>
  <threadedComment ref="AC515" dT="2026-01-16T16:19:43.46" personId="{F86F1615-4CA5-4AF0-9BBA-58C6C26F77C0}" id="{EDBE8BE2-C508-4997-BFA0-0E8B648DAE7F}" done="1">
    <text>2018</text>
  </threadedComment>
  <threadedComment ref="AD515" dT="2026-01-16T16:19:35.72" personId="{F86F1615-4CA5-4AF0-9BBA-58C6C26F77C0}" id="{7EBBBD4C-18F4-4954-A393-F5A4D0C6172A}" done="1">
    <text>2022</text>
  </threadedComment>
  <threadedComment ref="AC519" dT="2026-01-16T04:03:19.77" personId="{5067E1E6-D10E-AC45-9B88-7069DDEB4D6C}" id="{DC60229C-F3E9-5747-A738-4ED33CAE7AA8}" done="1">
    <text>I found it on LinkedIn: jun 2022 - dic 2023</text>
  </threadedComment>
  <threadedComment ref="N527" dT="2026-01-15T18:53:34.85" personId="{A4D688E5-3438-194D-94E8-972B1E81D666}" id="{DA2C29DB-5580-4D5D-A9C4-C2F94EB21DFE}" done="1">
    <text>Middle Level</text>
  </threadedComment>
  <threadedComment ref="AD532" dT="2026-01-25T18:45:07.57" personId="{79DDDDCD-AC0A-B849-B74F-1B44CF7F5383}" id="{E073BFFB-F36F-E242-BB0E-AFB315F3DD42}">
    <text>I could not find another Roberta Nembri, and she has JEME on her LinkedIN, however the dates in the alumni book and her bocconi degree do not add up.</text>
  </threadedComment>
  <threadedComment ref="AC545" dT="2026-01-16T03:01:29.04" personId="{5067E1E6-D10E-AC45-9B88-7069DDEB4D6C}" id="{69724771-0D5F-114A-9DB8-2CE4A449A07E}" done="1">
    <text>I found it on LinkedIn: mar 2022 - jul 2024</text>
  </threadedComment>
  <threadedComment ref="AD547" dT="2026-01-16T15:35:46.24" personId="{F86F1615-4CA5-4AF0-9BBA-58C6C26F77C0}" id="{A11B5194-9BE4-4BD3-B965-6F6C204DE324}" done="1">
    <text xml:space="preserve">This might be the end period (year she finished her degree at Bocconi). Entry was in 1991, per the book. </text>
  </threadedComment>
  <threadedComment ref="AC551" dT="2026-01-15T03:10:59.51" personId="{5067E1E6-D10E-AC45-9B88-7069DDEB4D6C}" id="{5DEB0A8E-79C9-0247-A472-E61932AB66CF}" done="1">
    <text>I found it on LinkedIn: oct 2021 - oct 2024</text>
  </threadedComment>
  <threadedComment ref="B554" dT="2026-01-16T19:19:49.21" personId="{F86F1615-4CA5-4AF0-9BBA-58C6C26F77C0}" id="{048025B1-95B5-4741-A983-F12181E2F73F}" done="1">
    <text>344</text>
  </threadedComment>
  <threadedComment ref="AC554" dT="2026-01-16T19:20:04.78" personId="{F86F1615-4CA5-4AF0-9BBA-58C6C26F77C0}" id="{E6FCC55F-796C-4308-88F4-F2156C80B2E4}" done="1">
    <text>2011</text>
  </threadedComment>
  <threadedComment ref="AC555" dT="2026-01-16T04:17:59.14" personId="{5067E1E6-D10E-AC45-9B88-7069DDEB4D6C}" id="{72B87889-178F-C041-88BE-6B0C302B2AAF}" done="1">
    <text>I found it on LinkedIn: oct 2022 - jul 2024</text>
  </threadedComment>
  <threadedComment ref="B576" dT="2026-01-13T14:18:49.45" personId="{05BBC762-96B4-FC42-8C85-05AE2ECA8055}" id="{2F28B8E7-02A3-B942-AC32-A2FDA8B4EB60}" done="1">
    <text>89</text>
  </threadedComment>
  <threadedComment ref="AC584" dT="2026-01-14T02:17:00.27" personId="{5067E1E6-D10E-AC45-9B88-7069DDEB4D6C}" id="{BA897D2A-A38A-8944-B865-10FE5218D4F5}" done="1">
    <text xml:space="preserve">I find it on LinkedIn </text>
  </threadedComment>
  <threadedComment ref="AC584" dT="2026-01-14T02:25:59.44" personId="{5067E1E6-D10E-AC45-9B88-7069DDEB4D6C}" id="{329AAAAA-976D-5E47-A6B4-433FD691F7A9}" parentId="{BA897D2A-A38A-8944-B865-10FE5218D4F5}">
    <text xml:space="preserve">01/03/23
01/06/24
</text>
  </threadedComment>
  <threadedComment ref="AC589" dT="2026-01-16T16:21:39.47" personId="{F86F1615-4CA5-4AF0-9BBA-58C6C26F77C0}" id="{EE640137-4848-4B9E-8DA9-61834065A8FA}" done="1">
    <text>2019</text>
  </threadedComment>
  <threadedComment ref="AC602" dT="2026-01-16T04:27:59.85" personId="{5067E1E6-D10E-AC45-9B88-7069DDEB4D6C}" id="{AA475E13-5B9E-A04A-82F0-2CCB08561880}" done="1">
    <text>I found it on LinkedIn: oct 2022 - may 2023</text>
  </threadedComment>
  <threadedComment ref="AC603" dT="2026-01-16T16:23:34.41" personId="{F86F1615-4CA5-4AF0-9BBA-58C6C26F77C0}" id="{2C1634D9-8F0D-4F90-8A38-309A8AB83691}" done="1">
    <text>2019-2022</text>
  </threadedComment>
  <threadedComment ref="AC611" dT="2026-01-16T00:50:04.91" personId="{5067E1E6-D10E-AC45-9B88-7069DDEB4D6C}" id="{8861E818-352E-4F48-B8E8-FB86A6762075}" done="1">
    <text>I found it on LinkedIn: oct 2021 - may 2023</text>
  </threadedComment>
  <threadedComment ref="AC612" dT="2026-01-14T04:03:28.57" personId="{5067E1E6-D10E-AC45-9B88-7069DDEB4D6C}" id="{2BCE4934-83E2-9745-A732-775E3385BAF9}" done="1">
    <text>I found it on LinkedIn: jun 2020 - jun 2022</text>
  </threadedComment>
  <threadedComment ref="AC613" dT="2026-01-16T04:25:36.74" personId="{5067E1E6-D10E-AC45-9B88-7069DDEB4D6C}" id="{C8D6AF43-5F76-4E4F-9FCB-5CA194CEB691}" done="1">
    <text>I found it on LinkedIn: oct 2022 - sep 2023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7F6E908-AA27-3748-BE54-F7CD15EE3FE7}">
  <we:reference id="026e7b2b-fa4d-4fe0-bf3b-b965f6f25bee" version="1.0.0.22" store="EXCatalog" storeType="EXCatalog"/>
  <we:alternateReferences>
    <we:reference id="WA200000565" version="1.0.0.22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RDP.Data</we:customFunctionIds>
        <we:customFunctionIds>RDP.Price</we:customFunctionIds>
        <we:customFunctionIds>RDP.HistoricalPricing</we:customFunctionIds>
        <we:customFunctionIds>RDP.Analytics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gianandrea-cherubini-82a431" TargetMode="External"/><Relationship Id="rId2" Type="http://schemas.openxmlformats.org/officeDocument/2006/relationships/hyperlink" Target="https://www.linkedin.com/in/giancarlo-almiento-951831/" TargetMode="External"/><Relationship Id="rId1" Type="http://schemas.openxmlformats.org/officeDocument/2006/relationships/hyperlink" Target="https://www.linkedin.com/in/matteo-nichil-6b9189b/" TargetMode="External"/><Relationship Id="rId4" Type="http://schemas.openxmlformats.org/officeDocument/2006/relationships/hyperlink" Target="https://www.linkedin.com/in/andrea-lazzari-94158519/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inkedin.com/alessio-bressan-8b26b/" TargetMode="External"/><Relationship Id="rId21" Type="http://schemas.openxmlformats.org/officeDocument/2006/relationships/hyperlink" Target="https://www.linkedin.com/alessandro-trisciuoglio/" TargetMode="External"/><Relationship Id="rId42" Type="http://schemas.openxmlformats.org/officeDocument/2006/relationships/hyperlink" Target="https://www.linkedin.com/andreaghizzoni/" TargetMode="External"/><Relationship Id="rId47" Type="http://schemas.openxmlformats.org/officeDocument/2006/relationships/hyperlink" Target="https://www.linkedin.com/amatranga" TargetMode="External"/><Relationship Id="rId63" Type="http://schemas.openxmlformats.org/officeDocument/2006/relationships/hyperlink" Target="https://www.linkedin.com/antonio-centola-a8651aa/" TargetMode="External"/><Relationship Id="rId68" Type="http://schemas.openxmlformats.org/officeDocument/2006/relationships/hyperlink" Target="https://www.linkedin.com/antonio-volpone-8bb4b" TargetMode="External"/><Relationship Id="rId2" Type="http://schemas.openxmlformats.org/officeDocument/2006/relationships/hyperlink" Target="https://www.linkedin.com/alberto-accogli/" TargetMode="External"/><Relationship Id="rId16" Type="http://schemas.openxmlformats.org/officeDocument/2006/relationships/hyperlink" Target="https://www.linkedin.com/alessandro-dadone-23196318" TargetMode="External"/><Relationship Id="rId29" Type="http://schemas.openxmlformats.org/officeDocument/2006/relationships/hyperlink" Target="https://www.linkedin.com/alex-fattorini-263999/" TargetMode="External"/><Relationship Id="rId11" Type="http://schemas.openxmlformats.org/officeDocument/2006/relationships/hyperlink" Target="https://www.linkedin.com/alessandra-mangeri-656893b/" TargetMode="External"/><Relationship Id="rId24" Type="http://schemas.openxmlformats.org/officeDocument/2006/relationships/hyperlink" Target="https://www.linkedin.com/alessia-dellavedova/" TargetMode="External"/><Relationship Id="rId32" Type="http://schemas.openxmlformats.org/officeDocument/2006/relationships/hyperlink" Target="https://www.linkedin.com/amin-harbi/" TargetMode="External"/><Relationship Id="rId37" Type="http://schemas.openxmlformats.org/officeDocument/2006/relationships/hyperlink" Target="https://www.linkedin.com/andrea-carvelli/" TargetMode="External"/><Relationship Id="rId40" Type="http://schemas.openxmlformats.org/officeDocument/2006/relationships/hyperlink" Target="https://www.linkedin.com/andreagerosa" TargetMode="External"/><Relationship Id="rId45" Type="http://schemas.openxmlformats.org/officeDocument/2006/relationships/hyperlink" Target="https://www.linkedin.com/andrea-lippa-26718311b/" TargetMode="External"/><Relationship Id="rId53" Type="http://schemas.openxmlformats.org/officeDocument/2006/relationships/hyperlink" Target="https://www.linkedin.com/andreatel" TargetMode="External"/><Relationship Id="rId58" Type="http://schemas.openxmlformats.org/officeDocument/2006/relationships/hyperlink" Target="https://www.linkedin.com/anna-barzanti" TargetMode="External"/><Relationship Id="rId66" Type="http://schemas.openxmlformats.org/officeDocument/2006/relationships/hyperlink" Target="https://www.linkedin.com/antonio-pisu-3ab463/" TargetMode="External"/><Relationship Id="rId74" Type="http://schemas.openxmlformats.org/officeDocument/2006/relationships/hyperlink" Target="https://www.linkedin.com/azzurragiorgio" TargetMode="External"/><Relationship Id="rId5" Type="http://schemas.openxmlformats.org/officeDocument/2006/relationships/hyperlink" Target="https://www.linkedin.com/albertofrancoit" TargetMode="External"/><Relationship Id="rId61" Type="http://schemas.openxmlformats.org/officeDocument/2006/relationships/hyperlink" Target="https://www.linkedin.com/antoninom/" TargetMode="External"/><Relationship Id="rId19" Type="http://schemas.openxmlformats.org/officeDocument/2006/relationships/hyperlink" Target="https://www.linkedin.com/alessandro-medico/" TargetMode="External"/><Relationship Id="rId14" Type="http://schemas.openxmlformats.org/officeDocument/2006/relationships/hyperlink" Target="https://www.linkedin.com/alessandro-alloisio-9a13a/" TargetMode="External"/><Relationship Id="rId22" Type="http://schemas.openxmlformats.org/officeDocument/2006/relationships/hyperlink" Target="https://www.linkedin.com/alessia-acquistapace-22972165/" TargetMode="External"/><Relationship Id="rId27" Type="http://schemas.openxmlformats.org/officeDocument/2006/relationships/hyperlink" Target="https://www.linkedin.com/alessiofortunatoficara/" TargetMode="External"/><Relationship Id="rId30" Type="http://schemas.openxmlformats.org/officeDocument/2006/relationships/hyperlink" Target="https://www.linkedin.com/alice-zarantonello/" TargetMode="External"/><Relationship Id="rId35" Type="http://schemas.openxmlformats.org/officeDocument/2006/relationships/hyperlink" Target="https://www.linkedin.com/andrea-bergamini-4695b6/" TargetMode="External"/><Relationship Id="rId43" Type="http://schemas.openxmlformats.org/officeDocument/2006/relationships/hyperlink" Target="https://www.linkedin.com/andrea-la-torre-34b67b7/" TargetMode="External"/><Relationship Id="rId48" Type="http://schemas.openxmlformats.org/officeDocument/2006/relationships/hyperlink" Target="https://www.linkedin.com/andrea-paladini-6b884a77" TargetMode="External"/><Relationship Id="rId56" Type="http://schemas.openxmlformats.org/officeDocument/2006/relationships/hyperlink" Target="https://www.linkedin.com/angelo-solarino-94696314/" TargetMode="External"/><Relationship Id="rId64" Type="http://schemas.openxmlformats.org/officeDocument/2006/relationships/hyperlink" Target="https://www.linkedin.com/antoniolai/" TargetMode="External"/><Relationship Id="rId69" Type="http://schemas.openxmlformats.org/officeDocument/2006/relationships/hyperlink" Target="https://www.linkedin.com/arianna-libratti-5773396/" TargetMode="External"/><Relationship Id="rId8" Type="http://schemas.openxmlformats.org/officeDocument/2006/relationships/hyperlink" Target="https://www.linkedin.com/alberto-vedovi-48832772" TargetMode="External"/><Relationship Id="rId51" Type="http://schemas.openxmlformats.org/officeDocument/2006/relationships/hyperlink" Target="https://www.linkedin.com/andrea-salvati" TargetMode="External"/><Relationship Id="rId72" Type="http://schemas.openxmlformats.org/officeDocument/2006/relationships/hyperlink" Target="https://www.linkedin.com/aureliotempesta/details/experience/" TargetMode="External"/><Relationship Id="rId3" Type="http://schemas.openxmlformats.org/officeDocument/2006/relationships/hyperlink" Target="https://www.linkedin.com/albertoantoniolli/" TargetMode="External"/><Relationship Id="rId12" Type="http://schemas.openxmlformats.org/officeDocument/2006/relationships/hyperlink" Target="https://www.linkedin.com/alessandra-peres-21b2a2b/" TargetMode="External"/><Relationship Id="rId17" Type="http://schemas.openxmlformats.org/officeDocument/2006/relationships/hyperlink" Target="https://www.linkedin.com/alessandrofiloramo" TargetMode="External"/><Relationship Id="rId25" Type="http://schemas.openxmlformats.org/officeDocument/2006/relationships/hyperlink" Target="https://www.linkedin.com/alessiafontanari" TargetMode="External"/><Relationship Id="rId33" Type="http://schemas.openxmlformats.org/officeDocument/2006/relationships/hyperlink" Target="https://www.linkedin.com/andre-gardella-67734/" TargetMode="External"/><Relationship Id="rId38" Type="http://schemas.openxmlformats.org/officeDocument/2006/relationships/hyperlink" Target="https://www.linkedin.com/andrea-di-benedetto-bbb463111/" TargetMode="External"/><Relationship Id="rId46" Type="http://schemas.openxmlformats.org/officeDocument/2006/relationships/hyperlink" Target="https://www.linkedin.com/in/maggiandrea" TargetMode="External"/><Relationship Id="rId59" Type="http://schemas.openxmlformats.org/officeDocument/2006/relationships/hyperlink" Target="https://www.linkedin.com/anna-latini-bb8b8b128" TargetMode="External"/><Relationship Id="rId67" Type="http://schemas.openxmlformats.org/officeDocument/2006/relationships/hyperlink" Target="https://www.linkedin.com/antonio-specchia-a34622" TargetMode="External"/><Relationship Id="rId20" Type="http://schemas.openxmlformats.org/officeDocument/2006/relationships/hyperlink" Target="https://www.linkedin.com/alessandro-radici-9988317/" TargetMode="External"/><Relationship Id="rId41" Type="http://schemas.openxmlformats.org/officeDocument/2006/relationships/hyperlink" Target="https://www.linkedin.com/andrea-gherzi-21a4416/" TargetMode="External"/><Relationship Id="rId54" Type="http://schemas.openxmlformats.org/officeDocument/2006/relationships/hyperlink" Target="https://www.linkedin.com/angela-filippa-942369161/" TargetMode="External"/><Relationship Id="rId62" Type="http://schemas.openxmlformats.org/officeDocument/2006/relationships/hyperlink" Target="https://www.linkedin.com/antonio-attin%C3%25A-pmp-389721/" TargetMode="External"/><Relationship Id="rId70" Type="http://schemas.openxmlformats.org/officeDocument/2006/relationships/hyperlink" Target="https://www.linkedin.com/armandocianci" TargetMode="External"/><Relationship Id="rId1" Type="http://schemas.openxmlformats.org/officeDocument/2006/relationships/hyperlink" Target="https://www.linkedin.com/agnieszkadariakania/" TargetMode="External"/><Relationship Id="rId6" Type="http://schemas.openxmlformats.org/officeDocument/2006/relationships/hyperlink" Target="https://www.linkedin.com/alberto-holler-72a95199/" TargetMode="External"/><Relationship Id="rId15" Type="http://schemas.openxmlformats.org/officeDocument/2006/relationships/hyperlink" Target="https://www.linkedin.com/alessandro-brutto-bb15117" TargetMode="External"/><Relationship Id="rId23" Type="http://schemas.openxmlformats.org/officeDocument/2006/relationships/hyperlink" Target="https://www.linkedin.com/alessia-alberti-b75a612b/" TargetMode="External"/><Relationship Id="rId28" Type="http://schemas.openxmlformats.org/officeDocument/2006/relationships/hyperlink" Target="https://www.linkedin.com/alex-cecchini-579278/" TargetMode="External"/><Relationship Id="rId36" Type="http://schemas.openxmlformats.org/officeDocument/2006/relationships/hyperlink" Target="https://www.linkedin.com/andrea-berte-38446947/" TargetMode="External"/><Relationship Id="rId49" Type="http://schemas.openxmlformats.org/officeDocument/2006/relationships/hyperlink" Target="https://www.linkedin.com/andrea-ronchiato-8216512/" TargetMode="External"/><Relationship Id="rId57" Type="http://schemas.openxmlformats.org/officeDocument/2006/relationships/hyperlink" Target="https://www.linkedin.com/annaambrosi/" TargetMode="External"/><Relationship Id="rId10" Type="http://schemas.openxmlformats.org/officeDocument/2006/relationships/hyperlink" Target="https://www.linkedin.com/alessandra-arrigoni-8aa45b7/" TargetMode="External"/><Relationship Id="rId31" Type="http://schemas.openxmlformats.org/officeDocument/2006/relationships/hyperlink" Target="https://www.linkedin.com/alvise-biffi-115aa5/" TargetMode="External"/><Relationship Id="rId44" Type="http://schemas.openxmlformats.org/officeDocument/2006/relationships/hyperlink" Target="https://www.linkedin.com/andrea-lazzari-94158519" TargetMode="External"/><Relationship Id="rId52" Type="http://schemas.openxmlformats.org/officeDocument/2006/relationships/hyperlink" Target="https://www.linkedin.com/andreaschettini" TargetMode="External"/><Relationship Id="rId60" Type="http://schemas.openxmlformats.org/officeDocument/2006/relationships/hyperlink" Target="https://www.linkedin.com/annarobbi" TargetMode="External"/><Relationship Id="rId65" Type="http://schemas.openxmlformats.org/officeDocument/2006/relationships/hyperlink" Target="https://www.linkedin.com/aoteri/" TargetMode="External"/><Relationship Id="rId73" Type="http://schemas.openxmlformats.org/officeDocument/2006/relationships/hyperlink" Target="https://www.linkedin.com/aurora-trentini-448727157/" TargetMode="External"/><Relationship Id="rId4" Type="http://schemas.openxmlformats.org/officeDocument/2006/relationships/hyperlink" Target="https://www.linkedin.com/alberto-cattaruzza-84a1a196/" TargetMode="External"/><Relationship Id="rId9" Type="http://schemas.openxmlformats.org/officeDocument/2006/relationships/hyperlink" Target="https://www.linkedin.com/aldopozzoli/" TargetMode="External"/><Relationship Id="rId13" Type="http://schemas.openxmlformats.org/officeDocument/2006/relationships/hyperlink" Target="https://www.linkedin.com/alessandravultaggio/" TargetMode="External"/><Relationship Id="rId18" Type="http://schemas.openxmlformats.org/officeDocument/2006/relationships/hyperlink" Target="https://www.linkedin.com/alessandro-gagliardi/" TargetMode="External"/><Relationship Id="rId39" Type="http://schemas.openxmlformats.org/officeDocument/2006/relationships/hyperlink" Target="https://www.linkedin.com/andreadipietrantonio" TargetMode="External"/><Relationship Id="rId34" Type="http://schemas.openxmlformats.org/officeDocument/2006/relationships/hyperlink" Target="https://www.linkedin.com/aabaroni/" TargetMode="External"/><Relationship Id="rId50" Type="http://schemas.openxmlformats.org/officeDocument/2006/relationships/hyperlink" Target="https://www.linkedin.com/andrea-salsi-6722339" TargetMode="External"/><Relationship Id="rId55" Type="http://schemas.openxmlformats.org/officeDocument/2006/relationships/hyperlink" Target="https://www.linkedin.com/angelopeluffo/" TargetMode="External"/><Relationship Id="rId7" Type="http://schemas.openxmlformats.org/officeDocument/2006/relationships/hyperlink" Target="https://www.linkedin.com/alberto-matuozzo-2a54a8" TargetMode="External"/><Relationship Id="rId71" Type="http://schemas.openxmlformats.org/officeDocument/2006/relationships/hyperlink" Target="https://www.linkedin.com/attilio-de-luca-76a17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9E3D4-1D0D-EC41-8DF9-F992DB394C92}">
  <dimension ref="A1:BW628"/>
  <sheetViews>
    <sheetView tabSelected="1" zoomScale="75" zoomScaleNormal="100" workbookViewId="0">
      <pane xSplit="2" ySplit="1" topLeftCell="C2" activePane="bottomRight" state="frozen"/>
      <selection pane="topRight"/>
      <selection pane="bottomLeft" activeCell="A158" sqref="A158"/>
      <selection pane="bottomRight" activeCell="S12" sqref="S12"/>
    </sheetView>
  </sheetViews>
  <sheetFormatPr baseColWidth="10" defaultColWidth="11" defaultRowHeight="16" x14ac:dyDescent="0.2"/>
  <cols>
    <col min="2" max="3" width="16" customWidth="1"/>
    <col min="4" max="4" width="20.5" style="39" customWidth="1"/>
    <col min="5" max="5" width="18" style="39" customWidth="1"/>
    <col min="6" max="6" width="19.33203125" style="39" customWidth="1"/>
    <col min="7" max="7" width="16.5" style="39" customWidth="1"/>
    <col min="8" max="8" width="16.5" customWidth="1"/>
    <col min="9" max="10" width="38.5" style="39" customWidth="1"/>
    <col min="11" max="11" width="55.6640625" customWidth="1"/>
    <col min="12" max="12" width="43.6640625" customWidth="1"/>
    <col min="13" max="13" width="62" style="6" customWidth="1"/>
    <col min="14" max="14" width="42.5" customWidth="1"/>
    <col min="15" max="16" width="18.83203125" customWidth="1"/>
    <col min="17" max="17" width="35" customWidth="1"/>
    <col min="18" max="19" width="40.33203125" customWidth="1"/>
    <col min="20" max="20" width="47.5" style="43" customWidth="1"/>
    <col min="21" max="21" width="39.5" style="52" customWidth="1"/>
    <col min="22" max="22" width="20.1640625" customWidth="1"/>
    <col min="23" max="24" width="23.1640625" style="50" customWidth="1"/>
    <col min="25" max="25" width="17.83203125" customWidth="1"/>
    <col min="26" max="27" width="15" style="50" customWidth="1"/>
    <col min="28" max="28" width="32.1640625" customWidth="1"/>
    <col min="29" max="29" width="19.5" style="42" customWidth="1"/>
    <col min="30" max="30" width="18.5" style="42" customWidth="1"/>
    <col min="31" max="33" width="28.33203125" style="55" customWidth="1"/>
    <col min="34" max="35" width="38" style="39" customWidth="1"/>
    <col min="75" max="75" width="11" customWidth="1"/>
  </cols>
  <sheetData>
    <row r="1" spans="1:35" ht="17" x14ac:dyDescent="0.2">
      <c r="A1" s="46" t="s">
        <v>5754</v>
      </c>
      <c r="B1" s="46" t="s">
        <v>0</v>
      </c>
      <c r="C1" s="46" t="s">
        <v>3431</v>
      </c>
      <c r="D1" s="47" t="s">
        <v>1</v>
      </c>
      <c r="E1" s="47" t="s">
        <v>2</v>
      </c>
      <c r="F1" s="47" t="s">
        <v>3</v>
      </c>
      <c r="G1" s="47" t="s">
        <v>4</v>
      </c>
      <c r="H1" s="46" t="s">
        <v>5</v>
      </c>
      <c r="I1" s="47" t="s">
        <v>6</v>
      </c>
      <c r="J1" s="47" t="s">
        <v>7</v>
      </c>
      <c r="K1" s="46" t="s">
        <v>8</v>
      </c>
      <c r="L1" s="46" t="s">
        <v>9</v>
      </c>
      <c r="M1" s="60" t="s">
        <v>10</v>
      </c>
      <c r="N1" s="46" t="s">
        <v>11</v>
      </c>
      <c r="O1" s="59" t="s">
        <v>12</v>
      </c>
      <c r="P1" s="59" t="s">
        <v>13</v>
      </c>
      <c r="Q1" s="46" t="s">
        <v>14</v>
      </c>
      <c r="R1" s="46" t="s">
        <v>15</v>
      </c>
      <c r="S1" s="46" t="s">
        <v>16</v>
      </c>
      <c r="T1" s="51" t="s">
        <v>17</v>
      </c>
      <c r="U1" s="51" t="s">
        <v>18</v>
      </c>
      <c r="V1" s="59" t="s">
        <v>19</v>
      </c>
      <c r="W1" s="56" t="s">
        <v>20</v>
      </c>
      <c r="X1" s="56" t="s">
        <v>21</v>
      </c>
      <c r="Y1" s="58" t="s">
        <v>22</v>
      </c>
      <c r="Z1" s="47" t="s">
        <v>23</v>
      </c>
      <c r="AA1" s="47" t="s">
        <v>24</v>
      </c>
      <c r="AB1" s="46" t="s">
        <v>25</v>
      </c>
      <c r="AC1" s="51" t="s">
        <v>26</v>
      </c>
      <c r="AD1" s="51" t="s">
        <v>27</v>
      </c>
      <c r="AE1" s="47" t="s">
        <v>28</v>
      </c>
      <c r="AF1" s="47" t="s">
        <v>29</v>
      </c>
      <c r="AG1" s="47" t="s">
        <v>30</v>
      </c>
      <c r="AH1" s="47" t="s">
        <v>31</v>
      </c>
      <c r="AI1" s="47" t="s">
        <v>32</v>
      </c>
    </row>
    <row r="2" spans="1:35" ht="17" x14ac:dyDescent="0.2">
      <c r="A2">
        <v>324</v>
      </c>
      <c r="B2">
        <v>329</v>
      </c>
      <c r="C2" t="s">
        <v>3455</v>
      </c>
      <c r="D2" s="39" t="s">
        <v>2045</v>
      </c>
      <c r="E2" s="39" t="s">
        <v>2046</v>
      </c>
      <c r="F2" s="39" t="s">
        <v>35</v>
      </c>
      <c r="G2" s="39" t="s">
        <v>55</v>
      </c>
      <c r="I2" s="39" t="s">
        <v>2047</v>
      </c>
      <c r="J2" s="39" t="s">
        <v>35</v>
      </c>
      <c r="K2" t="s">
        <v>2048</v>
      </c>
      <c r="L2" t="s">
        <v>1474</v>
      </c>
      <c r="M2" s="6" t="s">
        <v>5843</v>
      </c>
      <c r="N2" t="s">
        <v>86</v>
      </c>
      <c r="O2" t="s">
        <v>49</v>
      </c>
      <c r="P2" s="35" t="s">
        <v>50</v>
      </c>
      <c r="Q2" t="s">
        <v>1627</v>
      </c>
      <c r="R2" t="s">
        <v>2049</v>
      </c>
      <c r="S2" s="6" t="s">
        <v>3461</v>
      </c>
      <c r="T2" s="43" t="s">
        <v>65</v>
      </c>
      <c r="U2" s="43" t="s">
        <v>254</v>
      </c>
      <c r="V2" t="s">
        <v>2050</v>
      </c>
      <c r="W2" s="57"/>
      <c r="X2" s="57"/>
      <c r="Y2" t="s">
        <v>2051</v>
      </c>
      <c r="Z2" s="39"/>
      <c r="AA2" s="39"/>
      <c r="AB2" t="s">
        <v>115</v>
      </c>
      <c r="AC2" s="42">
        <v>39387</v>
      </c>
      <c r="AD2" s="42">
        <v>40179</v>
      </c>
      <c r="AE2" s="53" t="s">
        <v>69</v>
      </c>
      <c r="AF2" s="54" t="s">
        <v>116</v>
      </c>
      <c r="AG2" s="54"/>
      <c r="AH2" s="39" t="s">
        <v>70</v>
      </c>
      <c r="AI2" s="39" t="s">
        <v>70</v>
      </c>
    </row>
    <row r="3" spans="1:35" ht="17" x14ac:dyDescent="0.2">
      <c r="A3">
        <v>581</v>
      </c>
      <c r="B3">
        <v>70</v>
      </c>
      <c r="C3" t="s">
        <v>5768</v>
      </c>
      <c r="D3" s="39" t="s">
        <v>582</v>
      </c>
      <c r="E3" s="39" t="s">
        <v>583</v>
      </c>
      <c r="F3" s="39" t="s">
        <v>35</v>
      </c>
      <c r="G3" s="39" t="s">
        <v>259</v>
      </c>
      <c r="H3" s="41"/>
      <c r="I3" s="39" t="s">
        <v>584</v>
      </c>
      <c r="J3" s="39" t="s">
        <v>35</v>
      </c>
      <c r="K3" t="s">
        <v>585</v>
      </c>
      <c r="L3" s="49" t="s">
        <v>586</v>
      </c>
      <c r="M3" s="6" t="s">
        <v>5844</v>
      </c>
      <c r="N3" s="41" t="s">
        <v>131</v>
      </c>
      <c r="O3" t="s">
        <v>42</v>
      </c>
      <c r="P3" s="35" t="s">
        <v>43</v>
      </c>
      <c r="Q3" t="s">
        <v>44</v>
      </c>
      <c r="R3" t="s">
        <v>587</v>
      </c>
      <c r="S3" s="6" t="s">
        <v>3487</v>
      </c>
      <c r="T3" s="43" t="s">
        <v>494</v>
      </c>
      <c r="U3" s="43" t="s">
        <v>494</v>
      </c>
      <c r="V3" t="s">
        <v>588</v>
      </c>
      <c r="W3" s="57"/>
      <c r="X3" s="57"/>
      <c r="Y3" t="s">
        <v>589</v>
      </c>
      <c r="Z3" s="39"/>
      <c r="AA3" s="39"/>
      <c r="AB3" t="s">
        <v>44</v>
      </c>
      <c r="AC3" s="42">
        <v>44563</v>
      </c>
      <c r="AD3" s="42">
        <v>44929</v>
      </c>
      <c r="AE3" s="53" t="s">
        <v>51</v>
      </c>
      <c r="AF3" s="54" t="s">
        <v>35</v>
      </c>
      <c r="AG3" s="54"/>
      <c r="AH3" s="39" t="s">
        <v>52</v>
      </c>
      <c r="AI3" s="39" t="s">
        <v>52</v>
      </c>
    </row>
    <row r="4" spans="1:35" ht="17" x14ac:dyDescent="0.2">
      <c r="A4">
        <v>270</v>
      </c>
      <c r="B4">
        <v>2</v>
      </c>
      <c r="C4" t="s">
        <v>3462</v>
      </c>
      <c r="D4" s="39" t="s">
        <v>53</v>
      </c>
      <c r="E4" s="39" t="s">
        <v>54</v>
      </c>
      <c r="F4" s="39" t="s">
        <v>35</v>
      </c>
      <c r="G4" s="39" t="s">
        <v>55</v>
      </c>
      <c r="I4" s="39" t="s">
        <v>56</v>
      </c>
      <c r="J4" s="39" t="s">
        <v>35</v>
      </c>
      <c r="K4" t="s">
        <v>57</v>
      </c>
      <c r="L4" t="s">
        <v>58</v>
      </c>
      <c r="M4" s="6" t="s">
        <v>5091</v>
      </c>
      <c r="N4" t="s">
        <v>59</v>
      </c>
      <c r="O4" t="s">
        <v>60</v>
      </c>
      <c r="P4" s="35" t="s">
        <v>61</v>
      </c>
      <c r="Q4" t="s">
        <v>62</v>
      </c>
      <c r="R4" t="s">
        <v>63</v>
      </c>
      <c r="S4" s="6" t="s">
        <v>64</v>
      </c>
      <c r="T4" s="43" t="s">
        <v>65</v>
      </c>
      <c r="U4" s="43" t="s">
        <v>66</v>
      </c>
      <c r="V4" t="s">
        <v>49</v>
      </c>
      <c r="W4" s="57"/>
      <c r="X4" s="57"/>
      <c r="Y4" t="s">
        <v>50</v>
      </c>
      <c r="Z4" s="39"/>
      <c r="AA4" s="39"/>
      <c r="AB4" t="s">
        <v>62</v>
      </c>
      <c r="AC4" s="42">
        <v>38732</v>
      </c>
      <c r="AD4" s="42">
        <v>39447</v>
      </c>
      <c r="AE4" s="53" t="s">
        <v>68</v>
      </c>
      <c r="AF4" s="54" t="s">
        <v>69</v>
      </c>
      <c r="AG4" s="54"/>
      <c r="AH4" s="39" t="s">
        <v>70</v>
      </c>
      <c r="AI4" s="39" t="s">
        <v>70</v>
      </c>
    </row>
    <row r="5" spans="1:35" ht="17" x14ac:dyDescent="0.2">
      <c r="A5">
        <v>488</v>
      </c>
      <c r="B5">
        <v>20</v>
      </c>
      <c r="C5" t="s">
        <v>3468</v>
      </c>
      <c r="D5" s="39" t="s">
        <v>233</v>
      </c>
      <c r="E5" s="39" t="s">
        <v>54</v>
      </c>
      <c r="F5" s="39" t="s">
        <v>35</v>
      </c>
      <c r="G5" s="39" t="s">
        <v>36</v>
      </c>
      <c r="H5" s="34"/>
      <c r="I5" s="39" t="s">
        <v>234</v>
      </c>
      <c r="J5" s="39" t="s">
        <v>35</v>
      </c>
      <c r="K5" t="s">
        <v>235</v>
      </c>
      <c r="L5" t="s">
        <v>236</v>
      </c>
      <c r="M5" s="6" t="s">
        <v>3471</v>
      </c>
      <c r="N5" t="s">
        <v>97</v>
      </c>
      <c r="O5" t="s">
        <v>49</v>
      </c>
      <c r="P5" s="35" t="s">
        <v>50</v>
      </c>
      <c r="Q5" t="s">
        <v>62</v>
      </c>
      <c r="R5" t="s">
        <v>237</v>
      </c>
      <c r="S5" s="6" t="s">
        <v>3473</v>
      </c>
      <c r="T5" s="43" t="s">
        <v>78</v>
      </c>
      <c r="U5" s="43" t="s">
        <v>238</v>
      </c>
      <c r="V5" t="s">
        <v>49</v>
      </c>
      <c r="W5" s="57"/>
      <c r="X5" s="57"/>
      <c r="Y5" t="s">
        <v>50</v>
      </c>
      <c r="Z5" s="39"/>
      <c r="AA5" s="39"/>
      <c r="AB5" t="s">
        <v>44</v>
      </c>
      <c r="AC5" s="42">
        <v>43626</v>
      </c>
      <c r="AD5" s="42">
        <v>44743</v>
      </c>
      <c r="AE5" s="53" t="s">
        <v>239</v>
      </c>
      <c r="AF5" s="54" t="s">
        <v>35</v>
      </c>
      <c r="AG5" s="54"/>
      <c r="AH5" s="39" t="s">
        <v>70</v>
      </c>
      <c r="AI5" s="39" t="s">
        <v>52</v>
      </c>
    </row>
    <row r="6" spans="1:35" ht="17" x14ac:dyDescent="0.2">
      <c r="A6">
        <v>526</v>
      </c>
      <c r="B6">
        <v>123</v>
      </c>
      <c r="C6" t="s">
        <v>3474</v>
      </c>
      <c r="D6" s="39" t="s">
        <v>937</v>
      </c>
      <c r="E6" s="39" t="s">
        <v>54</v>
      </c>
      <c r="F6" s="39" t="s">
        <v>35</v>
      </c>
      <c r="G6" s="39" t="s">
        <v>36</v>
      </c>
      <c r="H6" s="34"/>
      <c r="I6" s="39" t="s">
        <v>938</v>
      </c>
      <c r="J6" s="39" t="s">
        <v>35</v>
      </c>
      <c r="K6" t="s">
        <v>939</v>
      </c>
      <c r="L6" s="49" t="s">
        <v>407</v>
      </c>
      <c r="M6" s="6" t="s">
        <v>212</v>
      </c>
      <c r="N6" t="s">
        <v>97</v>
      </c>
      <c r="O6" t="s">
        <v>49</v>
      </c>
      <c r="P6" s="35" t="s">
        <v>50</v>
      </c>
      <c r="Q6" t="s">
        <v>44</v>
      </c>
      <c r="R6" t="s">
        <v>152</v>
      </c>
      <c r="S6" s="6" t="s">
        <v>3476</v>
      </c>
      <c r="T6" s="43" t="s">
        <v>135</v>
      </c>
      <c r="U6" s="43" t="s">
        <v>940</v>
      </c>
      <c r="V6" t="s">
        <v>49</v>
      </c>
      <c r="W6" s="57"/>
      <c r="X6" s="57"/>
      <c r="Y6" t="s">
        <v>50</v>
      </c>
      <c r="Z6" s="39"/>
      <c r="AA6" s="39"/>
      <c r="AB6" t="s">
        <v>44</v>
      </c>
      <c r="AC6" s="42">
        <v>43891</v>
      </c>
      <c r="AD6" s="42">
        <v>44470</v>
      </c>
      <c r="AE6" s="53" t="s">
        <v>51</v>
      </c>
      <c r="AF6" s="54" t="s">
        <v>35</v>
      </c>
      <c r="AG6" s="54"/>
      <c r="AH6" s="39" t="s">
        <v>52</v>
      </c>
      <c r="AI6" s="39" t="s">
        <v>52</v>
      </c>
    </row>
    <row r="7" spans="1:35" ht="34" x14ac:dyDescent="0.2">
      <c r="A7" t="s">
        <v>35</v>
      </c>
      <c r="B7">
        <v>138</v>
      </c>
      <c r="C7" t="s">
        <v>5780</v>
      </c>
      <c r="D7" s="39" t="s">
        <v>1035</v>
      </c>
      <c r="E7" s="39" t="s">
        <v>54</v>
      </c>
      <c r="F7" s="39" t="s">
        <v>35</v>
      </c>
      <c r="G7" s="39" t="s">
        <v>259</v>
      </c>
      <c r="I7" s="39" t="s">
        <v>1036</v>
      </c>
      <c r="J7" s="39" t="s">
        <v>35</v>
      </c>
      <c r="K7" t="s">
        <v>1037</v>
      </c>
      <c r="L7" s="49" t="s">
        <v>1038</v>
      </c>
      <c r="M7" s="6" t="s">
        <v>5845</v>
      </c>
      <c r="N7" t="s">
        <v>131</v>
      </c>
      <c r="O7" t="s">
        <v>49</v>
      </c>
      <c r="P7" s="35"/>
      <c r="Q7" t="s">
        <v>44</v>
      </c>
      <c r="R7" t="s">
        <v>1039</v>
      </c>
      <c r="S7" s="6" t="s">
        <v>3706</v>
      </c>
      <c r="T7" s="43" t="s">
        <v>246</v>
      </c>
      <c r="U7" s="43" t="s">
        <v>246</v>
      </c>
      <c r="V7" t="s">
        <v>49</v>
      </c>
      <c r="W7" s="57"/>
      <c r="X7" s="57"/>
      <c r="Y7" t="s">
        <v>50</v>
      </c>
      <c r="Z7" s="39"/>
      <c r="AA7" s="39"/>
      <c r="AB7" t="s">
        <v>44</v>
      </c>
      <c r="AE7" s="53" t="s">
        <v>51</v>
      </c>
      <c r="AF7" s="54" t="s">
        <v>35</v>
      </c>
      <c r="AG7" s="54"/>
      <c r="AH7" s="39" t="s">
        <v>52</v>
      </c>
      <c r="AI7" s="39" t="s">
        <v>52</v>
      </c>
    </row>
    <row r="8" spans="1:35" ht="17" x14ac:dyDescent="0.2">
      <c r="A8">
        <v>202</v>
      </c>
      <c r="B8">
        <v>250</v>
      </c>
      <c r="C8" t="s">
        <v>3478</v>
      </c>
      <c r="D8" s="39" t="s">
        <v>963</v>
      </c>
      <c r="E8" s="39" t="s">
        <v>54</v>
      </c>
      <c r="F8" s="39" t="s">
        <v>35</v>
      </c>
      <c r="G8" s="39" t="s">
        <v>35</v>
      </c>
      <c r="I8" s="39" t="s">
        <v>1656</v>
      </c>
      <c r="J8" s="39" t="s">
        <v>35</v>
      </c>
      <c r="K8" t="s">
        <v>1657</v>
      </c>
      <c r="L8" t="s">
        <v>1658</v>
      </c>
      <c r="M8" s="6" t="s">
        <v>3471</v>
      </c>
      <c r="N8" t="s">
        <v>41</v>
      </c>
      <c r="O8" t="s">
        <v>399</v>
      </c>
      <c r="P8" s="35" t="s">
        <v>50</v>
      </c>
      <c r="Q8" t="s">
        <v>132</v>
      </c>
      <c r="R8" t="s">
        <v>1659</v>
      </c>
      <c r="S8" s="6" t="s">
        <v>3571</v>
      </c>
      <c r="T8" s="43" t="s">
        <v>308</v>
      </c>
      <c r="U8" s="43" t="s">
        <v>324</v>
      </c>
      <c r="V8" t="s">
        <v>399</v>
      </c>
      <c r="W8" s="57"/>
      <c r="X8" s="57"/>
      <c r="Y8" t="s">
        <v>50</v>
      </c>
      <c r="Z8" s="39"/>
      <c r="AA8" s="39"/>
      <c r="AB8" t="s">
        <v>100</v>
      </c>
      <c r="AD8" s="42" t="s">
        <v>35</v>
      </c>
      <c r="AE8" s="53" t="s">
        <v>51</v>
      </c>
      <c r="AF8" s="54" t="s">
        <v>35</v>
      </c>
      <c r="AG8" s="54"/>
      <c r="AH8" s="39" t="s">
        <v>52</v>
      </c>
      <c r="AI8" s="39" t="s">
        <v>52</v>
      </c>
    </row>
    <row r="9" spans="1:35" ht="17" x14ac:dyDescent="0.2">
      <c r="A9">
        <v>511</v>
      </c>
      <c r="B9">
        <v>320</v>
      </c>
      <c r="C9" t="s">
        <v>3484</v>
      </c>
      <c r="D9" s="39" t="s">
        <v>1999</v>
      </c>
      <c r="E9" s="39" t="s">
        <v>54</v>
      </c>
      <c r="F9" s="39" t="s">
        <v>35</v>
      </c>
      <c r="G9" s="39" t="s">
        <v>36</v>
      </c>
      <c r="I9" s="39" t="s">
        <v>2000</v>
      </c>
      <c r="J9" s="39" t="s">
        <v>35</v>
      </c>
      <c r="K9" t="s">
        <v>2001</v>
      </c>
      <c r="L9" t="s">
        <v>1124</v>
      </c>
      <c r="M9" s="6" t="s">
        <v>4911</v>
      </c>
      <c r="N9" t="s">
        <v>131</v>
      </c>
      <c r="O9" t="s">
        <v>49</v>
      </c>
      <c r="P9" s="35" t="s">
        <v>50</v>
      </c>
      <c r="Q9" t="s">
        <v>44</v>
      </c>
      <c r="R9" t="s">
        <v>1447</v>
      </c>
      <c r="S9" s="6" t="s">
        <v>6121</v>
      </c>
      <c r="T9" s="43" t="s">
        <v>78</v>
      </c>
      <c r="U9" s="43" t="s">
        <v>154</v>
      </c>
      <c r="V9" t="s">
        <v>49</v>
      </c>
      <c r="W9" s="57"/>
      <c r="X9" s="57"/>
      <c r="Y9" t="s">
        <v>50</v>
      </c>
      <c r="Z9" s="39"/>
      <c r="AA9" s="39"/>
      <c r="AB9" t="s">
        <v>62</v>
      </c>
      <c r="AC9" s="42">
        <v>43843</v>
      </c>
      <c r="AD9" s="42">
        <v>44627</v>
      </c>
      <c r="AE9" s="53" t="s">
        <v>68</v>
      </c>
      <c r="AF9" s="54" t="s">
        <v>35</v>
      </c>
      <c r="AG9" s="54"/>
      <c r="AH9" s="39" t="s">
        <v>70</v>
      </c>
      <c r="AI9" s="39" t="s">
        <v>52</v>
      </c>
    </row>
    <row r="10" spans="1:35" ht="17" x14ac:dyDescent="0.2">
      <c r="A10">
        <v>106</v>
      </c>
      <c r="B10">
        <v>386</v>
      </c>
      <c r="C10" t="s">
        <v>3490</v>
      </c>
      <c r="D10" s="39" t="s">
        <v>2338</v>
      </c>
      <c r="E10" s="39" t="s">
        <v>54</v>
      </c>
      <c r="F10" s="39" t="s">
        <v>35</v>
      </c>
      <c r="G10" s="39" t="s">
        <v>205</v>
      </c>
      <c r="H10" s="34"/>
      <c r="I10" s="39" t="s">
        <v>2339</v>
      </c>
      <c r="J10" s="39" t="s">
        <v>2340</v>
      </c>
      <c r="K10" t="s">
        <v>2341</v>
      </c>
      <c r="L10" t="s">
        <v>2342</v>
      </c>
      <c r="M10" s="6" t="s">
        <v>153</v>
      </c>
      <c r="N10" t="s">
        <v>86</v>
      </c>
      <c r="O10" t="s">
        <v>42</v>
      </c>
      <c r="P10" s="35" t="s">
        <v>43</v>
      </c>
      <c r="Q10" t="s">
        <v>44</v>
      </c>
      <c r="R10" t="s">
        <v>2343</v>
      </c>
      <c r="S10" s="6" t="s">
        <v>3493</v>
      </c>
      <c r="T10" s="43" t="s">
        <v>65</v>
      </c>
      <c r="U10" s="43" t="s">
        <v>1694</v>
      </c>
      <c r="V10" t="s">
        <v>42</v>
      </c>
      <c r="W10" s="57"/>
      <c r="X10" s="57"/>
      <c r="Y10" t="s">
        <v>43</v>
      </c>
      <c r="Z10" s="39"/>
      <c r="AA10" s="39"/>
      <c r="AB10" t="s">
        <v>44</v>
      </c>
      <c r="AC10" s="42">
        <v>35104</v>
      </c>
      <c r="AD10" s="42">
        <v>35766</v>
      </c>
      <c r="AE10" s="53" t="s">
        <v>453</v>
      </c>
      <c r="AF10" s="54" t="s">
        <v>35</v>
      </c>
      <c r="AG10" s="54"/>
      <c r="AH10" s="39" t="s">
        <v>70</v>
      </c>
      <c r="AI10" s="39" t="s">
        <v>52</v>
      </c>
    </row>
    <row r="11" spans="1:35" ht="17" x14ac:dyDescent="0.2">
      <c r="A11" t="s">
        <v>35</v>
      </c>
      <c r="B11">
        <v>587</v>
      </c>
      <c r="C11" t="s">
        <v>3496</v>
      </c>
      <c r="D11" s="39" t="s">
        <v>3285</v>
      </c>
      <c r="E11" s="39" t="s">
        <v>54</v>
      </c>
      <c r="F11" s="39" t="s">
        <v>35</v>
      </c>
      <c r="G11" s="39" t="s">
        <v>160</v>
      </c>
      <c r="I11" s="39" t="s">
        <v>3286</v>
      </c>
      <c r="J11" s="39" t="s">
        <v>35</v>
      </c>
      <c r="K11" t="s">
        <v>3287</v>
      </c>
      <c r="L11" t="s">
        <v>3288</v>
      </c>
      <c r="M11" s="6" t="s">
        <v>3506</v>
      </c>
      <c r="N11" t="s">
        <v>59</v>
      </c>
      <c r="O11" t="s">
        <v>621</v>
      </c>
      <c r="P11" s="35"/>
      <c r="Q11" t="s">
        <v>44</v>
      </c>
      <c r="R11" t="s">
        <v>1447</v>
      </c>
      <c r="S11" s="6" t="s">
        <v>6122</v>
      </c>
      <c r="T11" s="43" t="s">
        <v>409</v>
      </c>
      <c r="U11" s="43" t="s">
        <v>817</v>
      </c>
      <c r="V11" t="s">
        <v>621</v>
      </c>
      <c r="W11" s="57"/>
      <c r="X11" s="57"/>
      <c r="Y11" t="s">
        <v>622</v>
      </c>
      <c r="Z11" s="39"/>
      <c r="AA11" s="39"/>
      <c r="AB11" t="s">
        <v>62</v>
      </c>
      <c r="AC11" s="42">
        <v>42095</v>
      </c>
      <c r="AD11" s="42">
        <v>43040</v>
      </c>
      <c r="AE11" s="53" t="s">
        <v>157</v>
      </c>
      <c r="AF11" s="54" t="s">
        <v>239</v>
      </c>
      <c r="AG11" s="54"/>
      <c r="AH11" s="39" t="s">
        <v>70</v>
      </c>
      <c r="AI11" s="39" t="s">
        <v>52</v>
      </c>
    </row>
    <row r="12" spans="1:35" ht="17" x14ac:dyDescent="0.2">
      <c r="A12">
        <v>174</v>
      </c>
      <c r="B12">
        <v>479</v>
      </c>
      <c r="C12" t="s">
        <v>3503</v>
      </c>
      <c r="D12" s="39" t="s">
        <v>2761</v>
      </c>
      <c r="E12" s="39" t="s">
        <v>1127</v>
      </c>
      <c r="F12" s="39" t="s">
        <v>35</v>
      </c>
      <c r="G12" s="39" t="s">
        <v>82</v>
      </c>
      <c r="I12" s="39" t="s">
        <v>2762</v>
      </c>
      <c r="J12" s="39" t="s">
        <v>35</v>
      </c>
      <c r="K12" t="s">
        <v>2763</v>
      </c>
      <c r="L12" t="s">
        <v>573</v>
      </c>
      <c r="M12" s="6" t="s">
        <v>3510</v>
      </c>
      <c r="N12" t="s">
        <v>86</v>
      </c>
      <c r="O12" t="s">
        <v>49</v>
      </c>
      <c r="P12" s="35" t="s">
        <v>50</v>
      </c>
      <c r="Q12" t="s">
        <v>62</v>
      </c>
      <c r="R12" t="s">
        <v>2308</v>
      </c>
      <c r="S12" s="6" t="s">
        <v>6123</v>
      </c>
      <c r="T12" s="43" t="s">
        <v>202</v>
      </c>
      <c r="U12" s="43" t="s">
        <v>1106</v>
      </c>
      <c r="V12" t="s">
        <v>49</v>
      </c>
      <c r="W12" s="57"/>
      <c r="X12" s="57"/>
      <c r="Y12" t="s">
        <v>50</v>
      </c>
      <c r="Z12" s="39"/>
      <c r="AA12" s="39"/>
      <c r="AB12" t="s">
        <v>200</v>
      </c>
      <c r="AC12" s="42">
        <v>36871</v>
      </c>
      <c r="AD12" s="42">
        <v>37649</v>
      </c>
      <c r="AE12" s="53" t="s">
        <v>51</v>
      </c>
      <c r="AF12" s="54" t="s">
        <v>35</v>
      </c>
      <c r="AG12" s="54"/>
      <c r="AH12" s="39" t="s">
        <v>52</v>
      </c>
      <c r="AI12" s="39" t="s">
        <v>52</v>
      </c>
    </row>
    <row r="13" spans="1:35" ht="17" x14ac:dyDescent="0.2">
      <c r="A13">
        <v>217</v>
      </c>
      <c r="B13">
        <v>29</v>
      </c>
      <c r="C13" t="s">
        <v>3507</v>
      </c>
      <c r="D13" s="39" t="s">
        <v>301</v>
      </c>
      <c r="E13" s="39" t="s">
        <v>302</v>
      </c>
      <c r="F13" s="39" t="s">
        <v>35</v>
      </c>
      <c r="G13" s="39" t="s">
        <v>82</v>
      </c>
      <c r="I13" s="39" t="s">
        <v>303</v>
      </c>
      <c r="J13" s="39" t="s">
        <v>35</v>
      </c>
      <c r="K13" t="s">
        <v>304</v>
      </c>
      <c r="L13" t="s">
        <v>305</v>
      </c>
      <c r="M13" s="6" t="s">
        <v>5846</v>
      </c>
      <c r="N13" t="s">
        <v>86</v>
      </c>
      <c r="O13" t="s">
        <v>42</v>
      </c>
      <c r="P13" s="35" t="s">
        <v>43</v>
      </c>
      <c r="Q13" t="s">
        <v>115</v>
      </c>
      <c r="R13" t="s">
        <v>306</v>
      </c>
      <c r="S13" s="6" t="s">
        <v>6124</v>
      </c>
      <c r="T13" s="43" t="s">
        <v>307</v>
      </c>
      <c r="U13" s="43" t="s">
        <v>308</v>
      </c>
      <c r="V13" t="s">
        <v>42</v>
      </c>
      <c r="W13" s="57"/>
      <c r="X13" s="57"/>
      <c r="Y13" t="s">
        <v>43</v>
      </c>
      <c r="Z13" s="39"/>
      <c r="AA13" s="39"/>
      <c r="AB13" t="s">
        <v>115</v>
      </c>
      <c r="AC13" s="42">
        <v>37642</v>
      </c>
      <c r="AD13" s="42">
        <v>38007</v>
      </c>
      <c r="AE13" s="53" t="s">
        <v>51</v>
      </c>
      <c r="AF13" s="54" t="s">
        <v>35</v>
      </c>
      <c r="AG13" s="54"/>
      <c r="AH13" s="39" t="s">
        <v>52</v>
      </c>
      <c r="AI13" s="39" t="s">
        <v>52</v>
      </c>
    </row>
    <row r="14" spans="1:35" ht="17" x14ac:dyDescent="0.2">
      <c r="A14">
        <v>603</v>
      </c>
      <c r="B14">
        <v>238</v>
      </c>
      <c r="C14" t="s">
        <v>5792</v>
      </c>
      <c r="D14" s="39" t="s">
        <v>1590</v>
      </c>
      <c r="E14" s="39" t="s">
        <v>302</v>
      </c>
      <c r="F14" s="39" t="s">
        <v>35</v>
      </c>
      <c r="G14" s="39" t="s">
        <v>259</v>
      </c>
      <c r="I14" s="39" t="s">
        <v>1591</v>
      </c>
      <c r="J14" s="39" t="s">
        <v>35</v>
      </c>
      <c r="K14" t="s">
        <v>1592</v>
      </c>
      <c r="L14" t="s">
        <v>1593</v>
      </c>
      <c r="M14" s="6" t="s">
        <v>35</v>
      </c>
      <c r="N14" t="s">
        <v>131</v>
      </c>
      <c r="O14" t="s">
        <v>749</v>
      </c>
      <c r="P14" s="35" t="s">
        <v>640</v>
      </c>
      <c r="Q14" t="s">
        <v>44</v>
      </c>
      <c r="R14" t="s">
        <v>1594</v>
      </c>
      <c r="S14" s="6" t="s">
        <v>35</v>
      </c>
      <c r="T14" s="43" t="s">
        <v>246</v>
      </c>
      <c r="U14" s="43" t="s">
        <v>246</v>
      </c>
      <c r="V14" t="s">
        <v>198</v>
      </c>
      <c r="W14" s="57"/>
      <c r="X14" s="57"/>
      <c r="Y14" t="s">
        <v>199</v>
      </c>
      <c r="Z14" s="39"/>
      <c r="AA14" s="39"/>
      <c r="AB14" t="s">
        <v>87</v>
      </c>
      <c r="AC14" s="42">
        <v>44571</v>
      </c>
      <c r="AD14" s="42">
        <v>45666</v>
      </c>
      <c r="AE14" s="53" t="s">
        <v>633</v>
      </c>
      <c r="AF14" s="54" t="s">
        <v>35</v>
      </c>
      <c r="AG14" s="54"/>
      <c r="AH14" s="39" t="s">
        <v>52</v>
      </c>
      <c r="AI14" s="39" t="s">
        <v>70</v>
      </c>
    </row>
    <row r="15" spans="1:35" ht="17" x14ac:dyDescent="0.2">
      <c r="A15">
        <v>126</v>
      </c>
      <c r="B15">
        <v>268</v>
      </c>
      <c r="C15" t="s">
        <v>3511</v>
      </c>
      <c r="D15" s="39" t="s">
        <v>1738</v>
      </c>
      <c r="E15" s="39" t="s">
        <v>302</v>
      </c>
      <c r="F15" s="39" t="s">
        <v>35</v>
      </c>
      <c r="G15" s="39" t="s">
        <v>205</v>
      </c>
      <c r="I15" s="39" t="s">
        <v>1739</v>
      </c>
      <c r="J15" s="39" t="s">
        <v>35</v>
      </c>
      <c r="L15" t="s">
        <v>35</v>
      </c>
      <c r="M15" s="6" t="s">
        <v>5847</v>
      </c>
      <c r="P15" s="35"/>
      <c r="Q15" t="s">
        <v>35</v>
      </c>
      <c r="S15" s="6" t="s">
        <v>6125</v>
      </c>
      <c r="T15" s="43" t="s">
        <v>35</v>
      </c>
      <c r="U15" s="43" t="s">
        <v>35</v>
      </c>
      <c r="W15" s="57"/>
      <c r="X15" s="57"/>
      <c r="Z15" s="39"/>
      <c r="AA15" s="39"/>
      <c r="AB15" t="s">
        <v>35</v>
      </c>
      <c r="AC15" s="42">
        <v>35831</v>
      </c>
      <c r="AD15" s="42">
        <v>35990</v>
      </c>
      <c r="AE15" s="53" t="s">
        <v>51</v>
      </c>
      <c r="AF15" s="54" t="s">
        <v>35</v>
      </c>
      <c r="AG15" s="54"/>
      <c r="AH15" s="39" t="s">
        <v>52</v>
      </c>
      <c r="AI15" s="39" t="s">
        <v>52</v>
      </c>
    </row>
    <row r="16" spans="1:35" ht="17" x14ac:dyDescent="0.2">
      <c r="A16">
        <v>77</v>
      </c>
      <c r="B16">
        <v>357</v>
      </c>
      <c r="C16" t="s">
        <v>3513</v>
      </c>
      <c r="D16" s="39" t="s">
        <v>2188</v>
      </c>
      <c r="E16" s="39" t="s">
        <v>302</v>
      </c>
      <c r="F16" s="39" t="s">
        <v>35</v>
      </c>
      <c r="G16" s="39" t="s">
        <v>194</v>
      </c>
      <c r="H16" s="34"/>
      <c r="I16" s="39" t="s">
        <v>2189</v>
      </c>
      <c r="J16" s="39" t="s">
        <v>35</v>
      </c>
      <c r="K16" t="s">
        <v>2190</v>
      </c>
      <c r="L16" t="s">
        <v>2191</v>
      </c>
      <c r="M16" s="6" t="s">
        <v>3521</v>
      </c>
      <c r="N16" t="s">
        <v>59</v>
      </c>
      <c r="O16" t="s">
        <v>1928</v>
      </c>
      <c r="P16" s="35" t="s">
        <v>50</v>
      </c>
      <c r="Q16" t="s">
        <v>44</v>
      </c>
      <c r="R16" t="s">
        <v>2192</v>
      </c>
      <c r="S16" s="6" t="s">
        <v>3523</v>
      </c>
      <c r="T16" s="43" t="s">
        <v>1106</v>
      </c>
      <c r="U16" s="43" t="s">
        <v>324</v>
      </c>
      <c r="V16" t="s">
        <v>1710</v>
      </c>
      <c r="W16" s="57"/>
      <c r="X16" s="57"/>
      <c r="Y16" t="s">
        <v>50</v>
      </c>
      <c r="Z16" s="39"/>
      <c r="AA16" s="39"/>
      <c r="AB16" t="s">
        <v>200</v>
      </c>
      <c r="AC16" s="42">
        <v>33865</v>
      </c>
      <c r="AD16" s="42">
        <v>37315</v>
      </c>
      <c r="AE16" s="53" t="s">
        <v>51</v>
      </c>
      <c r="AF16" s="54" t="s">
        <v>35</v>
      </c>
      <c r="AG16" s="54"/>
      <c r="AH16" s="39" t="s">
        <v>52</v>
      </c>
      <c r="AI16" s="39" t="s">
        <v>52</v>
      </c>
    </row>
    <row r="17" spans="1:37" ht="17" x14ac:dyDescent="0.2">
      <c r="A17">
        <v>307</v>
      </c>
      <c r="B17">
        <v>457</v>
      </c>
      <c r="C17" t="s">
        <v>3518</v>
      </c>
      <c r="D17" s="39" t="s">
        <v>2657</v>
      </c>
      <c r="E17" s="39" t="s">
        <v>302</v>
      </c>
      <c r="F17" s="39" t="s">
        <v>35</v>
      </c>
      <c r="G17" s="39" t="s">
        <v>55</v>
      </c>
      <c r="H17" s="34"/>
      <c r="I17" s="39" t="s">
        <v>2658</v>
      </c>
      <c r="J17" s="39" t="s">
        <v>35</v>
      </c>
      <c r="K17" t="s">
        <v>2659</v>
      </c>
      <c r="L17" t="s">
        <v>2660</v>
      </c>
      <c r="M17" s="6" t="s">
        <v>5848</v>
      </c>
      <c r="N17" s="37" t="s">
        <v>59</v>
      </c>
      <c r="O17" t="s">
        <v>49</v>
      </c>
      <c r="P17" s="35" t="s">
        <v>50</v>
      </c>
      <c r="Q17" t="s">
        <v>44</v>
      </c>
      <c r="R17" t="s">
        <v>2661</v>
      </c>
      <c r="S17" s="6" t="s">
        <v>6126</v>
      </c>
      <c r="T17" s="43" t="s">
        <v>47</v>
      </c>
      <c r="U17" s="43" t="s">
        <v>246</v>
      </c>
      <c r="V17" t="s">
        <v>910</v>
      </c>
      <c r="W17" s="57"/>
      <c r="X17" s="57"/>
      <c r="Y17" t="s">
        <v>356</v>
      </c>
      <c r="Z17" s="39"/>
      <c r="AA17" s="39"/>
      <c r="AB17" t="s">
        <v>44</v>
      </c>
      <c r="AC17" s="42">
        <v>39329</v>
      </c>
      <c r="AD17" s="42">
        <v>40513</v>
      </c>
      <c r="AE17" s="53" t="s">
        <v>157</v>
      </c>
      <c r="AF17" s="54" t="s">
        <v>35</v>
      </c>
      <c r="AG17" s="54"/>
      <c r="AH17" s="39" t="s">
        <v>52</v>
      </c>
      <c r="AI17" s="39" t="s">
        <v>52</v>
      </c>
    </row>
    <row r="18" spans="1:37" ht="17" x14ac:dyDescent="0.2">
      <c r="A18">
        <v>131</v>
      </c>
      <c r="B18">
        <v>599</v>
      </c>
      <c r="C18" t="s">
        <v>3524</v>
      </c>
      <c r="D18" s="39" t="s">
        <v>3342</v>
      </c>
      <c r="E18" s="39" t="s">
        <v>302</v>
      </c>
      <c r="F18" s="39" t="s">
        <v>35</v>
      </c>
      <c r="G18" s="39" t="s">
        <v>205</v>
      </c>
      <c r="H18" s="34"/>
      <c r="I18" s="39" t="s">
        <v>3343</v>
      </c>
      <c r="J18" s="39" t="s">
        <v>35</v>
      </c>
      <c r="K18" t="s">
        <v>3344</v>
      </c>
      <c r="L18" t="s">
        <v>3345</v>
      </c>
      <c r="M18" s="6" t="s">
        <v>5849</v>
      </c>
      <c r="N18" s="36" t="s">
        <v>86</v>
      </c>
      <c r="O18" t="s">
        <v>49</v>
      </c>
      <c r="P18" s="35" t="s">
        <v>50</v>
      </c>
      <c r="Q18" t="s">
        <v>44</v>
      </c>
      <c r="R18" t="s">
        <v>3346</v>
      </c>
      <c r="S18" s="6" t="s">
        <v>6127</v>
      </c>
      <c r="T18" s="43" t="s">
        <v>3347</v>
      </c>
      <c r="U18" s="43" t="s">
        <v>288</v>
      </c>
      <c r="V18" t="s">
        <v>49</v>
      </c>
      <c r="W18" s="57"/>
      <c r="X18" s="57"/>
      <c r="Y18" t="s">
        <v>50</v>
      </c>
      <c r="Z18" s="39"/>
      <c r="AA18" s="39"/>
      <c r="AB18" t="s">
        <v>44</v>
      </c>
      <c r="AC18" s="42">
        <v>35831</v>
      </c>
      <c r="AD18" s="42">
        <v>37298</v>
      </c>
      <c r="AE18" s="53" t="s">
        <v>453</v>
      </c>
      <c r="AF18" s="54" t="s">
        <v>35</v>
      </c>
      <c r="AG18" s="54"/>
      <c r="AH18" s="39" t="s">
        <v>70</v>
      </c>
      <c r="AI18" s="39" t="s">
        <v>52</v>
      </c>
    </row>
    <row r="19" spans="1:37" ht="17" x14ac:dyDescent="0.2">
      <c r="A19">
        <v>6</v>
      </c>
      <c r="B19">
        <v>9</v>
      </c>
      <c r="C19" t="s">
        <v>3528</v>
      </c>
      <c r="D19" s="39" t="s">
        <v>137</v>
      </c>
      <c r="E19" s="39" t="s">
        <v>138</v>
      </c>
      <c r="F19" s="39" t="s">
        <v>35</v>
      </c>
      <c r="G19" s="39" t="s">
        <v>139</v>
      </c>
      <c r="I19" s="39" t="s">
        <v>140</v>
      </c>
      <c r="J19" s="39" t="s">
        <v>35</v>
      </c>
      <c r="K19" t="s">
        <v>141</v>
      </c>
      <c r="L19" t="s">
        <v>142</v>
      </c>
      <c r="M19" s="6" t="s">
        <v>35</v>
      </c>
      <c r="O19" t="s">
        <v>143</v>
      </c>
      <c r="P19" s="35" t="s">
        <v>50</v>
      </c>
      <c r="Q19" t="s">
        <v>35</v>
      </c>
      <c r="R19" t="s">
        <v>144</v>
      </c>
      <c r="S19" s="6" t="s">
        <v>35</v>
      </c>
      <c r="T19" s="43" t="s">
        <v>48</v>
      </c>
      <c r="U19" s="43" t="s">
        <v>145</v>
      </c>
      <c r="V19" t="s">
        <v>146</v>
      </c>
      <c r="W19" s="57"/>
      <c r="X19" s="57"/>
      <c r="Y19" t="s">
        <v>50</v>
      </c>
      <c r="Z19" s="39"/>
      <c r="AA19" s="39"/>
      <c r="AB19" t="s">
        <v>76</v>
      </c>
      <c r="AC19" s="42">
        <v>32464</v>
      </c>
      <c r="AD19" s="42">
        <v>34233</v>
      </c>
      <c r="AE19" s="53" t="s">
        <v>116</v>
      </c>
      <c r="AF19" s="54" t="s">
        <v>35</v>
      </c>
      <c r="AG19" s="54"/>
      <c r="AH19" s="39" t="s">
        <v>70</v>
      </c>
      <c r="AI19" s="39" t="s">
        <v>52</v>
      </c>
    </row>
    <row r="20" spans="1:37" ht="17" x14ac:dyDescent="0.2">
      <c r="A20">
        <v>1</v>
      </c>
      <c r="B20">
        <v>52</v>
      </c>
      <c r="C20" t="s">
        <v>3534</v>
      </c>
      <c r="D20" s="39" t="s">
        <v>467</v>
      </c>
      <c r="E20" s="39" t="s">
        <v>138</v>
      </c>
      <c r="F20" s="39" t="s">
        <v>35</v>
      </c>
      <c r="G20" s="39" t="s">
        <v>35</v>
      </c>
      <c r="I20" s="39" t="s">
        <v>35</v>
      </c>
      <c r="J20" s="39" t="s">
        <v>35</v>
      </c>
      <c r="K20" t="s">
        <v>35</v>
      </c>
      <c r="M20" s="6" t="s">
        <v>5850</v>
      </c>
      <c r="P20" s="35"/>
      <c r="Q20" t="s">
        <v>35</v>
      </c>
      <c r="S20" s="6" t="s">
        <v>6128</v>
      </c>
      <c r="T20" s="43" t="s">
        <v>35</v>
      </c>
      <c r="U20" s="43" t="s">
        <v>35</v>
      </c>
      <c r="W20" s="57"/>
      <c r="X20" s="57"/>
      <c r="Z20" s="39"/>
      <c r="AA20" s="39"/>
      <c r="AB20" t="s">
        <v>35</v>
      </c>
      <c r="AC20" s="43"/>
      <c r="AD20" s="43"/>
      <c r="AE20" s="53"/>
      <c r="AF20" s="54" t="s">
        <v>35</v>
      </c>
      <c r="AG20" s="54"/>
      <c r="AH20" s="39" t="s">
        <v>52</v>
      </c>
      <c r="AI20" s="39" t="s">
        <v>52</v>
      </c>
    </row>
    <row r="21" spans="1:37" ht="17" x14ac:dyDescent="0.2">
      <c r="A21">
        <v>72</v>
      </c>
      <c r="B21">
        <v>84</v>
      </c>
      <c r="C21" t="s">
        <v>3536</v>
      </c>
      <c r="D21" s="39" t="s">
        <v>678</v>
      </c>
      <c r="E21" s="39" t="s">
        <v>138</v>
      </c>
      <c r="F21" s="39" t="s">
        <v>35</v>
      </c>
      <c r="G21" s="39" t="s">
        <v>194</v>
      </c>
      <c r="I21" s="39" t="s">
        <v>35</v>
      </c>
      <c r="J21" s="39" t="s">
        <v>35</v>
      </c>
      <c r="K21" t="s">
        <v>679</v>
      </c>
      <c r="L21" s="49" t="s">
        <v>680</v>
      </c>
      <c r="M21" s="6" t="s">
        <v>5529</v>
      </c>
      <c r="N21" t="s">
        <v>59</v>
      </c>
      <c r="O21" t="s">
        <v>49</v>
      </c>
      <c r="P21" s="35" t="s">
        <v>50</v>
      </c>
      <c r="Q21" t="s">
        <v>44</v>
      </c>
      <c r="R21" t="s">
        <v>188</v>
      </c>
      <c r="S21" s="6" t="s">
        <v>212</v>
      </c>
      <c r="T21" s="43" t="s">
        <v>254</v>
      </c>
      <c r="U21" s="43" t="s">
        <v>681</v>
      </c>
      <c r="V21" t="s">
        <v>49</v>
      </c>
      <c r="W21" s="57"/>
      <c r="X21" s="57"/>
      <c r="Y21" t="s">
        <v>50</v>
      </c>
      <c r="Z21" s="39"/>
      <c r="AA21" s="39"/>
      <c r="AB21" t="s">
        <v>44</v>
      </c>
      <c r="AC21" s="42">
        <v>33419</v>
      </c>
      <c r="AD21" s="42">
        <v>34466</v>
      </c>
      <c r="AE21" s="53" t="s">
        <v>453</v>
      </c>
      <c r="AF21" s="54" t="s">
        <v>35</v>
      </c>
      <c r="AG21" s="54"/>
      <c r="AH21" s="39" t="s">
        <v>70</v>
      </c>
      <c r="AI21" s="39" t="s">
        <v>52</v>
      </c>
    </row>
    <row r="22" spans="1:37" ht="17" x14ac:dyDescent="0.2">
      <c r="A22">
        <v>411</v>
      </c>
      <c r="B22">
        <v>90</v>
      </c>
      <c r="C22" t="s">
        <v>3537</v>
      </c>
      <c r="D22" s="39" t="s">
        <v>715</v>
      </c>
      <c r="E22" s="39" t="s">
        <v>138</v>
      </c>
      <c r="F22" s="39" t="s">
        <v>35</v>
      </c>
      <c r="G22" s="39" t="s">
        <v>36</v>
      </c>
      <c r="H22" s="34"/>
      <c r="I22" s="39" t="s">
        <v>716</v>
      </c>
      <c r="J22" s="39" t="s">
        <v>35</v>
      </c>
      <c r="K22" t="s">
        <v>717</v>
      </c>
      <c r="L22" s="49" t="s">
        <v>718</v>
      </c>
      <c r="M22" s="6" t="s">
        <v>5851</v>
      </c>
      <c r="N22" t="s">
        <v>59</v>
      </c>
      <c r="O22" t="s">
        <v>42</v>
      </c>
      <c r="P22" s="35" t="s">
        <v>43</v>
      </c>
      <c r="Q22" t="s">
        <v>44</v>
      </c>
      <c r="R22" t="s">
        <v>355</v>
      </c>
      <c r="S22" s="6" t="s">
        <v>3544</v>
      </c>
      <c r="T22" s="43" t="s">
        <v>719</v>
      </c>
      <c r="U22" s="43" t="s">
        <v>103</v>
      </c>
      <c r="V22" t="s">
        <v>42</v>
      </c>
      <c r="W22" s="57"/>
      <c r="X22" s="57"/>
      <c r="Y22" t="s">
        <v>43</v>
      </c>
      <c r="Z22" s="39"/>
      <c r="AA22" s="39"/>
      <c r="AB22" t="s">
        <v>44</v>
      </c>
      <c r="AC22" s="42">
        <v>42513</v>
      </c>
      <c r="AD22" s="42">
        <v>42790</v>
      </c>
      <c r="AE22" s="53" t="s">
        <v>51</v>
      </c>
      <c r="AF22" s="54" t="s">
        <v>35</v>
      </c>
      <c r="AG22" s="54"/>
      <c r="AH22" s="39" t="s">
        <v>52</v>
      </c>
      <c r="AI22" s="39" t="s">
        <v>52</v>
      </c>
    </row>
    <row r="23" spans="1:37" ht="17" x14ac:dyDescent="0.2">
      <c r="A23">
        <v>426</v>
      </c>
      <c r="B23">
        <v>174</v>
      </c>
      <c r="C23" t="s">
        <v>3541</v>
      </c>
      <c r="D23" s="39" t="s">
        <v>1227</v>
      </c>
      <c r="E23" s="39" t="s">
        <v>138</v>
      </c>
      <c r="F23" s="39" t="s">
        <v>35</v>
      </c>
      <c r="G23" s="39" t="s">
        <v>36</v>
      </c>
      <c r="I23" s="39" t="s">
        <v>1228</v>
      </c>
      <c r="J23" s="39" t="s">
        <v>35</v>
      </c>
      <c r="K23" t="s">
        <v>1229</v>
      </c>
      <c r="L23" s="49" t="s">
        <v>1230</v>
      </c>
      <c r="M23" s="6" t="s">
        <v>212</v>
      </c>
      <c r="N23" t="s">
        <v>59</v>
      </c>
      <c r="O23" t="s">
        <v>190</v>
      </c>
      <c r="P23" s="35" t="s">
        <v>191</v>
      </c>
      <c r="Q23" t="s">
        <v>44</v>
      </c>
      <c r="R23" t="s">
        <v>727</v>
      </c>
      <c r="S23" s="6" t="s">
        <v>3501</v>
      </c>
      <c r="T23" s="43" t="s">
        <v>755</v>
      </c>
      <c r="U23" s="43" t="s">
        <v>797</v>
      </c>
      <c r="V23" t="s">
        <v>49</v>
      </c>
      <c r="W23" s="57"/>
      <c r="X23" s="57"/>
      <c r="Y23" t="s">
        <v>50</v>
      </c>
      <c r="Z23" s="39"/>
      <c r="AA23" s="39"/>
      <c r="AB23" t="s">
        <v>115</v>
      </c>
      <c r="AC23" s="42">
        <v>42751</v>
      </c>
      <c r="AD23" s="42">
        <v>43472</v>
      </c>
      <c r="AE23" s="53" t="s">
        <v>51</v>
      </c>
      <c r="AF23" s="54" t="s">
        <v>35</v>
      </c>
      <c r="AG23" s="54"/>
      <c r="AH23" s="39" t="s">
        <v>52</v>
      </c>
      <c r="AI23" s="39" t="s">
        <v>52</v>
      </c>
    </row>
    <row r="24" spans="1:37" ht="17" x14ac:dyDescent="0.2">
      <c r="A24">
        <v>429</v>
      </c>
      <c r="B24">
        <v>242</v>
      </c>
      <c r="C24" t="s">
        <v>3547</v>
      </c>
      <c r="D24" s="39" t="s">
        <v>1611</v>
      </c>
      <c r="E24" s="39" t="s">
        <v>138</v>
      </c>
      <c r="F24" s="39" t="s">
        <v>35</v>
      </c>
      <c r="G24" s="39" t="s">
        <v>35</v>
      </c>
      <c r="I24" s="39" t="s">
        <v>1612</v>
      </c>
      <c r="J24" s="39" t="s">
        <v>35</v>
      </c>
      <c r="K24" t="s">
        <v>1613</v>
      </c>
      <c r="L24" t="s">
        <v>1044</v>
      </c>
      <c r="M24" s="6" t="s">
        <v>3878</v>
      </c>
      <c r="N24" t="s">
        <v>131</v>
      </c>
      <c r="O24" t="s">
        <v>60</v>
      </c>
      <c r="P24" s="35" t="s">
        <v>61</v>
      </c>
      <c r="Q24" t="s">
        <v>62</v>
      </c>
      <c r="R24" t="s">
        <v>1614</v>
      </c>
      <c r="S24" s="6" t="s">
        <v>157</v>
      </c>
      <c r="T24" s="43" t="s">
        <v>154</v>
      </c>
      <c r="U24" s="43" t="s">
        <v>797</v>
      </c>
      <c r="V24" t="s">
        <v>60</v>
      </c>
      <c r="W24" s="57"/>
      <c r="X24" s="57"/>
      <c r="Y24" t="s">
        <v>61</v>
      </c>
      <c r="Z24" s="39"/>
      <c r="AA24" s="39"/>
      <c r="AB24" t="s">
        <v>62</v>
      </c>
      <c r="AD24" s="42" t="s">
        <v>35</v>
      </c>
      <c r="AE24" s="53" t="s">
        <v>453</v>
      </c>
      <c r="AF24" s="54" t="s">
        <v>35</v>
      </c>
      <c r="AG24" s="54"/>
      <c r="AH24" s="39" t="s">
        <v>52</v>
      </c>
      <c r="AI24" s="39" t="s">
        <v>52</v>
      </c>
    </row>
    <row r="25" spans="1:37" ht="17" x14ac:dyDescent="0.2">
      <c r="A25">
        <v>192</v>
      </c>
      <c r="B25">
        <v>261</v>
      </c>
      <c r="C25" t="s">
        <v>3550</v>
      </c>
      <c r="D25" s="39" t="s">
        <v>1711</v>
      </c>
      <c r="E25" s="39" t="s">
        <v>138</v>
      </c>
      <c r="F25" s="39" t="s">
        <v>35</v>
      </c>
      <c r="G25" s="39" t="s">
        <v>205</v>
      </c>
      <c r="I25" s="39" t="s">
        <v>1712</v>
      </c>
      <c r="J25" s="39" t="s">
        <v>35</v>
      </c>
      <c r="K25" t="s">
        <v>1713</v>
      </c>
      <c r="L25" t="s">
        <v>1714</v>
      </c>
      <c r="M25" s="6" t="s">
        <v>5852</v>
      </c>
      <c r="N25" s="36" t="s">
        <v>86</v>
      </c>
      <c r="O25" t="s">
        <v>42</v>
      </c>
      <c r="P25" s="35" t="s">
        <v>43</v>
      </c>
      <c r="Q25" t="s">
        <v>44</v>
      </c>
      <c r="R25" t="s">
        <v>1187</v>
      </c>
      <c r="S25" s="6" t="s">
        <v>3556</v>
      </c>
      <c r="T25" s="43" t="s">
        <v>330</v>
      </c>
      <c r="U25" s="43" t="s">
        <v>482</v>
      </c>
      <c r="V25" t="s">
        <v>42</v>
      </c>
      <c r="W25" s="57"/>
      <c r="X25" s="57"/>
      <c r="Y25" t="s">
        <v>43</v>
      </c>
      <c r="Z25" s="39"/>
      <c r="AA25" s="39"/>
      <c r="AB25" t="s">
        <v>44</v>
      </c>
      <c r="AC25" s="42">
        <v>37013</v>
      </c>
      <c r="AD25" s="42">
        <v>37298</v>
      </c>
      <c r="AE25" s="53" t="s">
        <v>51</v>
      </c>
      <c r="AF25" s="54" t="s">
        <v>35</v>
      </c>
      <c r="AG25" s="54"/>
      <c r="AH25" s="39" t="s">
        <v>52</v>
      </c>
      <c r="AI25" s="39" t="s">
        <v>52</v>
      </c>
    </row>
    <row r="26" spans="1:37" ht="17" x14ac:dyDescent="0.2">
      <c r="A26">
        <v>514</v>
      </c>
      <c r="B26">
        <v>393</v>
      </c>
      <c r="C26" t="s">
        <v>3553</v>
      </c>
      <c r="D26" s="39" t="s">
        <v>2375</v>
      </c>
      <c r="E26" s="39" t="s">
        <v>138</v>
      </c>
      <c r="F26" s="39" t="s">
        <v>35</v>
      </c>
      <c r="G26" s="39" t="s">
        <v>36</v>
      </c>
      <c r="H26" s="39" t="s">
        <v>2376</v>
      </c>
      <c r="I26" s="39" t="s">
        <v>2377</v>
      </c>
      <c r="J26" s="39" t="s">
        <v>35</v>
      </c>
      <c r="K26" t="s">
        <v>2378</v>
      </c>
      <c r="L26" t="s">
        <v>2379</v>
      </c>
      <c r="M26" s="6" t="s">
        <v>3476</v>
      </c>
      <c r="N26" t="s">
        <v>59</v>
      </c>
      <c r="O26" t="s">
        <v>1151</v>
      </c>
      <c r="P26" s="35" t="s">
        <v>640</v>
      </c>
      <c r="Q26" t="s">
        <v>115</v>
      </c>
      <c r="R26" t="s">
        <v>844</v>
      </c>
      <c r="S26" s="6" t="s">
        <v>3476</v>
      </c>
      <c r="T26" s="43" t="s">
        <v>48</v>
      </c>
      <c r="U26" s="43" t="s">
        <v>1907</v>
      </c>
      <c r="V26" t="s">
        <v>49</v>
      </c>
      <c r="W26" s="57"/>
      <c r="X26" s="57"/>
      <c r="Y26" t="s">
        <v>50</v>
      </c>
      <c r="Z26" s="39"/>
      <c r="AA26" s="39"/>
      <c r="AB26" t="s">
        <v>115</v>
      </c>
      <c r="AE26" s="53" t="s">
        <v>51</v>
      </c>
      <c r="AF26" s="54" t="s">
        <v>35</v>
      </c>
      <c r="AG26" s="54"/>
      <c r="AH26" s="39" t="s">
        <v>52</v>
      </c>
      <c r="AI26" s="39" t="s">
        <v>52</v>
      </c>
    </row>
    <row r="27" spans="1:37" ht="17" x14ac:dyDescent="0.2">
      <c r="A27">
        <v>561</v>
      </c>
      <c r="B27">
        <v>441</v>
      </c>
      <c r="C27" t="s">
        <v>5814</v>
      </c>
      <c r="D27" s="39" t="s">
        <v>2593</v>
      </c>
      <c r="E27" s="39" t="s">
        <v>138</v>
      </c>
      <c r="F27" s="39" t="s">
        <v>35</v>
      </c>
      <c r="G27" s="39" t="s">
        <v>36</v>
      </c>
      <c r="I27" s="39" t="s">
        <v>2594</v>
      </c>
      <c r="J27" s="39" t="s">
        <v>35</v>
      </c>
      <c r="K27" t="s">
        <v>2595</v>
      </c>
      <c r="L27" t="s">
        <v>657</v>
      </c>
      <c r="M27" s="6" t="s">
        <v>453</v>
      </c>
      <c r="N27" t="s">
        <v>131</v>
      </c>
      <c r="O27" t="s">
        <v>60</v>
      </c>
      <c r="P27" s="35" t="s">
        <v>61</v>
      </c>
      <c r="Q27" t="s">
        <v>44</v>
      </c>
      <c r="R27" t="s">
        <v>77</v>
      </c>
      <c r="S27" s="6" t="s">
        <v>3649</v>
      </c>
      <c r="T27" s="43" t="s">
        <v>213</v>
      </c>
      <c r="U27" s="43" t="s">
        <v>213</v>
      </c>
      <c r="V27" t="s">
        <v>60</v>
      </c>
      <c r="W27" s="57"/>
      <c r="X27" s="57"/>
      <c r="Y27" t="s">
        <v>61</v>
      </c>
      <c r="Z27" s="39"/>
      <c r="AA27" s="39"/>
      <c r="AB27" t="s">
        <v>44</v>
      </c>
      <c r="AE27" s="53" t="s">
        <v>68</v>
      </c>
      <c r="AF27" s="54" t="s">
        <v>35</v>
      </c>
      <c r="AG27" s="54"/>
      <c r="AH27" s="39" t="s">
        <v>70</v>
      </c>
      <c r="AI27" s="39" t="s">
        <v>70</v>
      </c>
      <c r="AK27" s="1"/>
    </row>
    <row r="28" spans="1:37" ht="17" x14ac:dyDescent="0.2">
      <c r="A28">
        <v>255</v>
      </c>
      <c r="B28">
        <v>487</v>
      </c>
      <c r="C28" t="s">
        <v>3557</v>
      </c>
      <c r="D28" s="39" t="s">
        <v>2792</v>
      </c>
      <c r="E28" s="39" t="s">
        <v>138</v>
      </c>
      <c r="F28" s="39" t="s">
        <v>35</v>
      </c>
      <c r="G28" s="39" t="s">
        <v>82</v>
      </c>
      <c r="I28" s="39" t="s">
        <v>2793</v>
      </c>
      <c r="J28" s="39" t="s">
        <v>35</v>
      </c>
      <c r="K28" t="s">
        <v>2794</v>
      </c>
      <c r="L28" t="s">
        <v>2795</v>
      </c>
      <c r="M28" s="6" t="s">
        <v>5853</v>
      </c>
      <c r="N28" s="36" t="s">
        <v>86</v>
      </c>
      <c r="O28" t="s">
        <v>2796</v>
      </c>
      <c r="P28" s="35"/>
      <c r="Q28" t="s">
        <v>62</v>
      </c>
      <c r="R28" t="s">
        <v>163</v>
      </c>
      <c r="S28" s="6" t="s">
        <v>6129</v>
      </c>
      <c r="T28" s="43" t="s">
        <v>2797</v>
      </c>
      <c r="U28" s="43" t="s">
        <v>2798</v>
      </c>
      <c r="V28" t="s">
        <v>2799</v>
      </c>
      <c r="W28" s="57"/>
      <c r="X28" s="57"/>
      <c r="Y28" t="s">
        <v>99</v>
      </c>
      <c r="Z28" s="39"/>
      <c r="AA28" s="39"/>
      <c r="AB28" t="s">
        <v>62</v>
      </c>
      <c r="AC28" s="42">
        <v>38356</v>
      </c>
      <c r="AD28" s="42">
        <v>39083</v>
      </c>
      <c r="AE28" s="53" t="s">
        <v>157</v>
      </c>
      <c r="AF28" s="54" t="s">
        <v>35</v>
      </c>
      <c r="AG28" s="54"/>
      <c r="AH28" s="39" t="s">
        <v>70</v>
      </c>
      <c r="AI28" s="39" t="s">
        <v>52</v>
      </c>
    </row>
    <row r="29" spans="1:37" ht="17" x14ac:dyDescent="0.2">
      <c r="A29">
        <v>610</v>
      </c>
      <c r="B29">
        <v>550</v>
      </c>
      <c r="C29" t="s">
        <v>5830</v>
      </c>
      <c r="D29" s="39" t="s">
        <v>3108</v>
      </c>
      <c r="E29" s="39" t="s">
        <v>138</v>
      </c>
      <c r="F29" s="39" t="s">
        <v>35</v>
      </c>
      <c r="G29" s="39" t="s">
        <v>36</v>
      </c>
      <c r="I29" s="39" t="s">
        <v>3109</v>
      </c>
      <c r="J29" s="39" t="s">
        <v>3110</v>
      </c>
      <c r="K29" t="s">
        <v>3111</v>
      </c>
      <c r="L29" t="s">
        <v>3112</v>
      </c>
      <c r="M29" s="6" t="s">
        <v>5854</v>
      </c>
      <c r="N29" t="s">
        <v>131</v>
      </c>
      <c r="P29" s="35" t="s">
        <v>99</v>
      </c>
      <c r="Q29" t="s">
        <v>35</v>
      </c>
      <c r="R29" t="s">
        <v>3113</v>
      </c>
      <c r="S29" s="6" t="s">
        <v>6130</v>
      </c>
      <c r="T29" s="43" t="s">
        <v>213</v>
      </c>
      <c r="U29" s="43" t="s">
        <v>213</v>
      </c>
      <c r="V29" t="s">
        <v>1560</v>
      </c>
      <c r="W29" s="57"/>
      <c r="X29" s="57"/>
      <c r="Y29" t="s">
        <v>1561</v>
      </c>
      <c r="Z29" s="39"/>
      <c r="AA29" s="39"/>
      <c r="AB29" t="s">
        <v>980</v>
      </c>
      <c r="AC29" s="42">
        <v>44571</v>
      </c>
      <c r="AD29" s="42">
        <v>45663</v>
      </c>
      <c r="AE29" s="53" t="s">
        <v>51</v>
      </c>
      <c r="AF29" s="54" t="s">
        <v>35</v>
      </c>
      <c r="AG29" s="54"/>
      <c r="AH29" s="39" t="s">
        <v>52</v>
      </c>
      <c r="AI29" s="39" t="s">
        <v>52</v>
      </c>
    </row>
    <row r="30" spans="1:37" ht="17" x14ac:dyDescent="0.2">
      <c r="A30">
        <v>553</v>
      </c>
      <c r="B30">
        <v>576</v>
      </c>
      <c r="C30" t="s">
        <v>3562</v>
      </c>
      <c r="D30" s="39" t="s">
        <v>3233</v>
      </c>
      <c r="E30" s="39" t="s">
        <v>138</v>
      </c>
      <c r="F30" s="39" t="s">
        <v>35</v>
      </c>
      <c r="G30" s="39" t="s">
        <v>36</v>
      </c>
      <c r="I30" s="39" t="s">
        <v>3234</v>
      </c>
      <c r="J30" s="39" t="s">
        <v>35</v>
      </c>
      <c r="K30" t="s">
        <v>3235</v>
      </c>
      <c r="L30" t="s">
        <v>245</v>
      </c>
      <c r="M30" s="6" t="s">
        <v>5855</v>
      </c>
      <c r="N30" t="s">
        <v>97</v>
      </c>
      <c r="O30" t="s">
        <v>49</v>
      </c>
      <c r="P30" s="35" t="s">
        <v>50</v>
      </c>
      <c r="Q30" t="s">
        <v>44</v>
      </c>
      <c r="R30" t="s">
        <v>263</v>
      </c>
      <c r="S30" s="6" t="s">
        <v>3555</v>
      </c>
      <c r="T30" s="43" t="s">
        <v>246</v>
      </c>
      <c r="U30" s="43" t="s">
        <v>246</v>
      </c>
      <c r="V30" t="s">
        <v>49</v>
      </c>
      <c r="W30" s="57"/>
      <c r="X30" s="57"/>
      <c r="Y30" t="s">
        <v>50</v>
      </c>
      <c r="Z30" s="39"/>
      <c r="AA30" s="39"/>
      <c r="AB30" t="s">
        <v>62</v>
      </c>
      <c r="AC30" s="42">
        <v>44075</v>
      </c>
      <c r="AD30" s="42">
        <v>44562</v>
      </c>
      <c r="AE30" s="53" t="s">
        <v>51</v>
      </c>
      <c r="AF30" s="54" t="s">
        <v>35</v>
      </c>
      <c r="AG30" s="54"/>
      <c r="AH30" s="39" t="s">
        <v>52</v>
      </c>
      <c r="AI30" s="39" t="s">
        <v>52</v>
      </c>
    </row>
    <row r="31" spans="1:37" ht="17" x14ac:dyDescent="0.2">
      <c r="A31">
        <v>472</v>
      </c>
      <c r="B31">
        <v>3</v>
      </c>
      <c r="C31" t="s">
        <v>3569</v>
      </c>
      <c r="D31" s="39" t="s">
        <v>71</v>
      </c>
      <c r="E31" s="39" t="s">
        <v>72</v>
      </c>
      <c r="F31" s="39" t="s">
        <v>35</v>
      </c>
      <c r="G31" s="39" t="s">
        <v>36</v>
      </c>
      <c r="I31" s="39" t="s">
        <v>73</v>
      </c>
      <c r="J31" s="39" t="s">
        <v>35</v>
      </c>
      <c r="K31" t="s">
        <v>74</v>
      </c>
      <c r="L31" t="s">
        <v>75</v>
      </c>
      <c r="M31" s="6" t="s">
        <v>3575</v>
      </c>
      <c r="N31" t="s">
        <v>59</v>
      </c>
      <c r="O31" t="s">
        <v>42</v>
      </c>
      <c r="P31" s="35" t="s">
        <v>43</v>
      </c>
      <c r="Q31" t="s">
        <v>76</v>
      </c>
      <c r="R31" t="s">
        <v>77</v>
      </c>
      <c r="S31" s="6" t="s">
        <v>3577</v>
      </c>
      <c r="T31" s="43" t="s">
        <v>78</v>
      </c>
      <c r="U31" s="43" t="s">
        <v>48</v>
      </c>
      <c r="V31" t="s">
        <v>49</v>
      </c>
      <c r="W31" s="57"/>
      <c r="X31" s="57"/>
      <c r="Y31" t="s">
        <v>50</v>
      </c>
      <c r="Z31" s="39"/>
      <c r="AA31" s="39"/>
      <c r="AB31" t="s">
        <v>44</v>
      </c>
      <c r="AC31" s="42">
        <v>43255</v>
      </c>
      <c r="AD31" s="42">
        <v>44835</v>
      </c>
      <c r="AE31" s="53" t="s">
        <v>51</v>
      </c>
      <c r="AF31" s="54" t="s">
        <v>35</v>
      </c>
      <c r="AG31" s="54"/>
      <c r="AH31" s="39" t="s">
        <v>52</v>
      </c>
      <c r="AI31" s="39" t="s">
        <v>52</v>
      </c>
    </row>
    <row r="32" spans="1:37" ht="17" x14ac:dyDescent="0.2">
      <c r="A32">
        <v>469</v>
      </c>
      <c r="B32">
        <v>8</v>
      </c>
      <c r="C32" t="s">
        <v>3573</v>
      </c>
      <c r="D32" s="39" t="s">
        <v>127</v>
      </c>
      <c r="E32" s="39" t="s">
        <v>72</v>
      </c>
      <c r="F32" s="39" t="s">
        <v>35</v>
      </c>
      <c r="G32" s="39" t="s">
        <v>36</v>
      </c>
      <c r="I32" s="39" t="s">
        <v>128</v>
      </c>
      <c r="J32" s="39" t="s">
        <v>35</v>
      </c>
      <c r="K32" t="s">
        <v>129</v>
      </c>
      <c r="L32" t="s">
        <v>130</v>
      </c>
      <c r="M32" s="6" t="s">
        <v>3581</v>
      </c>
      <c r="N32" t="s">
        <v>131</v>
      </c>
      <c r="O32" t="s">
        <v>49</v>
      </c>
      <c r="P32" s="35" t="s">
        <v>50</v>
      </c>
      <c r="Q32" t="s">
        <v>132</v>
      </c>
      <c r="R32" t="s">
        <v>133</v>
      </c>
      <c r="S32" s="6" t="s">
        <v>3581</v>
      </c>
      <c r="T32" s="43" t="s">
        <v>134</v>
      </c>
      <c r="U32" s="43" t="s">
        <v>135</v>
      </c>
      <c r="V32" t="s">
        <v>49</v>
      </c>
      <c r="W32" s="57"/>
      <c r="X32" s="57"/>
      <c r="Y32" t="s">
        <v>50</v>
      </c>
      <c r="Z32" s="39"/>
      <c r="AA32" s="39"/>
      <c r="AB32" t="s">
        <v>132</v>
      </c>
      <c r="AC32" s="42">
        <v>43255</v>
      </c>
      <c r="AD32" s="42">
        <v>43871</v>
      </c>
      <c r="AE32" s="53" t="s">
        <v>51</v>
      </c>
      <c r="AF32" s="54" t="s">
        <v>35</v>
      </c>
      <c r="AG32" s="54"/>
      <c r="AH32" s="39" t="s">
        <v>52</v>
      </c>
      <c r="AI32" s="39" t="s">
        <v>52</v>
      </c>
    </row>
    <row r="33" spans="1:35" ht="15.5" customHeight="1" x14ac:dyDescent="0.2">
      <c r="A33">
        <v>124</v>
      </c>
      <c r="B33">
        <v>197</v>
      </c>
      <c r="C33" t="s">
        <v>3578</v>
      </c>
      <c r="D33" s="39" t="s">
        <v>1356</v>
      </c>
      <c r="E33" s="39" t="s">
        <v>72</v>
      </c>
      <c r="F33" s="39" t="s">
        <v>35</v>
      </c>
      <c r="G33" s="39" t="s">
        <v>205</v>
      </c>
      <c r="I33" s="39" t="s">
        <v>35</v>
      </c>
      <c r="J33" s="39" t="s">
        <v>35</v>
      </c>
      <c r="K33" t="s">
        <v>1357</v>
      </c>
      <c r="L33" t="s">
        <v>1358</v>
      </c>
      <c r="M33" s="6" t="s">
        <v>5856</v>
      </c>
      <c r="N33" t="s">
        <v>131</v>
      </c>
      <c r="P33" s="35"/>
      <c r="Q33" t="s">
        <v>132</v>
      </c>
      <c r="R33" t="s">
        <v>1359</v>
      </c>
      <c r="S33" s="6" t="s">
        <v>6131</v>
      </c>
      <c r="T33" s="43" t="s">
        <v>238</v>
      </c>
      <c r="U33" s="43" t="s">
        <v>103</v>
      </c>
      <c r="V33" t="s">
        <v>49</v>
      </c>
      <c r="W33" s="57"/>
      <c r="X33" s="57"/>
      <c r="Y33" t="s">
        <v>50</v>
      </c>
      <c r="Z33" s="39"/>
      <c r="AA33" s="39"/>
      <c r="AB33" t="s">
        <v>132</v>
      </c>
      <c r="AC33" s="42">
        <v>35831</v>
      </c>
      <c r="AD33" s="42">
        <v>36121</v>
      </c>
      <c r="AE33" s="53" t="s">
        <v>51</v>
      </c>
      <c r="AF33" s="54" t="s">
        <v>35</v>
      </c>
      <c r="AG33" s="54"/>
      <c r="AH33" s="39" t="s">
        <v>52</v>
      </c>
      <c r="AI33" s="39" t="s">
        <v>52</v>
      </c>
    </row>
    <row r="34" spans="1:35" ht="17" x14ac:dyDescent="0.2">
      <c r="A34">
        <v>361</v>
      </c>
      <c r="B34">
        <v>244</v>
      </c>
      <c r="C34" t="s">
        <v>3583</v>
      </c>
      <c r="D34" s="39" t="s">
        <v>1621</v>
      </c>
      <c r="E34" s="39" t="s">
        <v>72</v>
      </c>
      <c r="F34" s="39" t="s">
        <v>35</v>
      </c>
      <c r="G34" s="39" t="s">
        <v>160</v>
      </c>
      <c r="I34" s="39" t="s">
        <v>1622</v>
      </c>
      <c r="J34" s="39" t="s">
        <v>1623</v>
      </c>
      <c r="K34" t="s">
        <v>1624</v>
      </c>
      <c r="L34" t="s">
        <v>1625</v>
      </c>
      <c r="M34" s="6" t="s">
        <v>5857</v>
      </c>
      <c r="N34" t="s">
        <v>86</v>
      </c>
      <c r="O34" t="s">
        <v>49</v>
      </c>
      <c r="P34" s="35" t="s">
        <v>50</v>
      </c>
      <c r="Q34" t="s">
        <v>44</v>
      </c>
      <c r="R34" t="s">
        <v>1626</v>
      </c>
      <c r="S34" s="6" t="s">
        <v>3501</v>
      </c>
      <c r="T34" s="43" t="s">
        <v>494</v>
      </c>
      <c r="U34" s="43" t="s">
        <v>940</v>
      </c>
      <c r="V34" t="s">
        <v>49</v>
      </c>
      <c r="W34" s="57"/>
      <c r="X34" s="57"/>
      <c r="Y34" t="s">
        <v>50</v>
      </c>
      <c r="Z34" s="39"/>
      <c r="AA34" s="39"/>
      <c r="AB34" t="s">
        <v>1627</v>
      </c>
      <c r="AC34" s="42">
        <v>41310</v>
      </c>
      <c r="AD34" s="42">
        <v>42499</v>
      </c>
      <c r="AE34" s="53" t="s">
        <v>425</v>
      </c>
      <c r="AF34" s="54" t="s">
        <v>35</v>
      </c>
      <c r="AG34" s="54"/>
      <c r="AH34" s="39" t="s">
        <v>52</v>
      </c>
      <c r="AI34" s="39" t="s">
        <v>70</v>
      </c>
    </row>
    <row r="35" spans="1:35" ht="17" x14ac:dyDescent="0.2">
      <c r="A35">
        <v>112</v>
      </c>
      <c r="B35">
        <v>87</v>
      </c>
      <c r="C35" t="s">
        <v>3587</v>
      </c>
      <c r="D35" s="39" t="s">
        <v>692</v>
      </c>
      <c r="E35" s="39" t="s">
        <v>693</v>
      </c>
      <c r="F35" s="39" t="s">
        <v>35</v>
      </c>
      <c r="G35" s="39" t="s">
        <v>205</v>
      </c>
      <c r="I35" s="39" t="s">
        <v>694</v>
      </c>
      <c r="J35" s="39" t="s">
        <v>35</v>
      </c>
      <c r="K35" t="s">
        <v>695</v>
      </c>
      <c r="L35" s="49" t="s">
        <v>696</v>
      </c>
      <c r="M35" s="6" t="s">
        <v>345</v>
      </c>
      <c r="N35" t="s">
        <v>86</v>
      </c>
      <c r="O35" t="s">
        <v>49</v>
      </c>
      <c r="P35" s="35" t="s">
        <v>50</v>
      </c>
      <c r="Q35" t="s">
        <v>35</v>
      </c>
      <c r="R35" t="s">
        <v>171</v>
      </c>
      <c r="S35" s="6" t="s">
        <v>64</v>
      </c>
      <c r="T35" s="43" t="s">
        <v>697</v>
      </c>
      <c r="U35" s="43" t="s">
        <v>698</v>
      </c>
      <c r="W35" s="57"/>
      <c r="X35" s="57"/>
      <c r="Z35" s="39"/>
      <c r="AA35" s="39"/>
      <c r="AB35" t="s">
        <v>62</v>
      </c>
      <c r="AC35" s="42">
        <v>35488</v>
      </c>
      <c r="AD35" s="42">
        <v>35766</v>
      </c>
      <c r="AE35" s="53" t="s">
        <v>51</v>
      </c>
      <c r="AF35" s="54" t="s">
        <v>35</v>
      </c>
      <c r="AG35" s="54"/>
      <c r="AH35" s="39" t="s">
        <v>52</v>
      </c>
      <c r="AI35" s="39" t="s">
        <v>52</v>
      </c>
    </row>
    <row r="36" spans="1:35" ht="17" x14ac:dyDescent="0.2">
      <c r="A36" t="s">
        <v>35</v>
      </c>
      <c r="B36">
        <v>237</v>
      </c>
      <c r="C36" t="s">
        <v>5791</v>
      </c>
      <c r="D36" s="39" t="s">
        <v>1584</v>
      </c>
      <c r="E36" s="39" t="s">
        <v>693</v>
      </c>
      <c r="F36" s="39" t="s">
        <v>1585</v>
      </c>
      <c r="G36" s="39" t="s">
        <v>205</v>
      </c>
      <c r="I36" s="39" t="s">
        <v>1586</v>
      </c>
      <c r="J36" s="39" t="s">
        <v>35</v>
      </c>
      <c r="K36" t="s">
        <v>1587</v>
      </c>
      <c r="L36" t="s">
        <v>1588</v>
      </c>
      <c r="M36" s="6" t="s">
        <v>5858</v>
      </c>
      <c r="N36" t="s">
        <v>86</v>
      </c>
      <c r="O36" t="s">
        <v>49</v>
      </c>
      <c r="P36" s="35" t="s">
        <v>50</v>
      </c>
      <c r="Q36" t="s">
        <v>180</v>
      </c>
      <c r="R36" t="s">
        <v>1589</v>
      </c>
      <c r="S36" s="6" t="s">
        <v>6132</v>
      </c>
      <c r="T36" s="43" t="s">
        <v>409</v>
      </c>
      <c r="U36" s="43" t="s">
        <v>324</v>
      </c>
      <c r="V36" t="s">
        <v>49</v>
      </c>
      <c r="W36" s="57"/>
      <c r="X36" s="57"/>
      <c r="Y36" t="s">
        <v>50</v>
      </c>
      <c r="Z36" s="39"/>
      <c r="AA36" s="39"/>
      <c r="AB36" t="s">
        <v>115</v>
      </c>
      <c r="AC36" s="42">
        <v>35831</v>
      </c>
      <c r="AD36" s="42">
        <v>37298</v>
      </c>
      <c r="AE36" s="53" t="s">
        <v>239</v>
      </c>
      <c r="AF36" s="54" t="s">
        <v>35</v>
      </c>
      <c r="AG36" s="54"/>
      <c r="AH36" s="39" t="s">
        <v>70</v>
      </c>
      <c r="AI36" s="39" t="s">
        <v>52</v>
      </c>
    </row>
    <row r="37" spans="1:35" ht="17" x14ac:dyDescent="0.2">
      <c r="A37">
        <v>127</v>
      </c>
      <c r="B37">
        <v>348</v>
      </c>
      <c r="C37" t="s">
        <v>3595</v>
      </c>
      <c r="D37" s="39" t="s">
        <v>2136</v>
      </c>
      <c r="E37" s="39" t="s">
        <v>693</v>
      </c>
      <c r="F37" s="39" t="s">
        <v>35</v>
      </c>
      <c r="G37" s="39" t="s">
        <v>205</v>
      </c>
      <c r="I37" s="39" t="s">
        <v>35</v>
      </c>
      <c r="J37" s="39" t="s">
        <v>35</v>
      </c>
      <c r="K37" t="s">
        <v>2137</v>
      </c>
      <c r="L37" t="s">
        <v>2138</v>
      </c>
      <c r="M37" s="6" t="s">
        <v>2355</v>
      </c>
      <c r="O37" t="s">
        <v>2139</v>
      </c>
      <c r="P37" s="35" t="s">
        <v>191</v>
      </c>
      <c r="Q37" t="s">
        <v>100</v>
      </c>
      <c r="R37" t="s">
        <v>2140</v>
      </c>
      <c r="S37" s="6" t="s">
        <v>3600</v>
      </c>
      <c r="T37" s="43" t="s">
        <v>665</v>
      </c>
      <c r="U37" s="43" t="s">
        <v>2141</v>
      </c>
      <c r="V37" t="s">
        <v>42</v>
      </c>
      <c r="W37" s="57"/>
      <c r="X37" s="57"/>
      <c r="Y37" t="s">
        <v>43</v>
      </c>
      <c r="Z37" s="39"/>
      <c r="AA37" s="39"/>
      <c r="AB37" t="s">
        <v>100</v>
      </c>
      <c r="AC37" s="42">
        <v>35831</v>
      </c>
      <c r="AD37" s="42">
        <v>36121</v>
      </c>
      <c r="AE37" s="53" t="s">
        <v>51</v>
      </c>
      <c r="AF37" s="54" t="s">
        <v>35</v>
      </c>
      <c r="AG37" s="54"/>
      <c r="AH37" s="39" t="s">
        <v>52</v>
      </c>
      <c r="AI37" s="39" t="s">
        <v>52</v>
      </c>
    </row>
    <row r="38" spans="1:35" ht="17" x14ac:dyDescent="0.2">
      <c r="A38">
        <v>91</v>
      </c>
      <c r="B38">
        <v>124</v>
      </c>
      <c r="C38" t="s">
        <v>3597</v>
      </c>
      <c r="D38" s="39" t="s">
        <v>941</v>
      </c>
      <c r="E38" s="39" t="s">
        <v>942</v>
      </c>
      <c r="F38" s="39" t="s">
        <v>35</v>
      </c>
      <c r="G38" s="39" t="s">
        <v>194</v>
      </c>
      <c r="I38" s="39" t="s">
        <v>943</v>
      </c>
      <c r="J38" s="39" t="s">
        <v>35</v>
      </c>
      <c r="K38" t="s">
        <v>944</v>
      </c>
      <c r="L38" s="49" t="s">
        <v>945</v>
      </c>
      <c r="M38" s="6" t="s">
        <v>4968</v>
      </c>
      <c r="N38" t="s">
        <v>86</v>
      </c>
      <c r="O38" t="s">
        <v>910</v>
      </c>
      <c r="P38" s="35" t="s">
        <v>354</v>
      </c>
      <c r="Q38" t="s">
        <v>44</v>
      </c>
      <c r="R38" t="s">
        <v>946</v>
      </c>
      <c r="S38" s="6" t="s">
        <v>3606</v>
      </c>
      <c r="T38" s="43" t="s">
        <v>232</v>
      </c>
      <c r="U38" s="43" t="s">
        <v>494</v>
      </c>
      <c r="V38" t="s">
        <v>910</v>
      </c>
      <c r="W38" s="57"/>
      <c r="X38" s="57"/>
      <c r="Y38" t="s">
        <v>356</v>
      </c>
      <c r="Z38" s="39"/>
      <c r="AA38" s="39"/>
      <c r="AB38" t="s">
        <v>44</v>
      </c>
      <c r="AC38" s="42">
        <v>34236</v>
      </c>
      <c r="AD38" s="42">
        <v>34347</v>
      </c>
      <c r="AE38" s="53" t="s">
        <v>51</v>
      </c>
      <c r="AF38" s="54" t="s">
        <v>35</v>
      </c>
      <c r="AG38" s="54"/>
      <c r="AH38" s="39" t="s">
        <v>52</v>
      </c>
      <c r="AI38" s="39" t="s">
        <v>52</v>
      </c>
    </row>
    <row r="39" spans="1:35" ht="17" x14ac:dyDescent="0.2">
      <c r="A39">
        <v>141</v>
      </c>
      <c r="B39">
        <v>223</v>
      </c>
      <c r="C39" t="s">
        <v>3601</v>
      </c>
      <c r="D39" s="39" t="s">
        <v>1506</v>
      </c>
      <c r="E39" s="39" t="s">
        <v>942</v>
      </c>
      <c r="F39" s="39" t="s">
        <v>35</v>
      </c>
      <c r="G39" s="39" t="s">
        <v>205</v>
      </c>
      <c r="I39" s="39" t="s">
        <v>35</v>
      </c>
      <c r="J39" s="39" t="s">
        <v>35</v>
      </c>
      <c r="K39" t="s">
        <v>1507</v>
      </c>
      <c r="L39" t="s">
        <v>1508</v>
      </c>
      <c r="M39" s="6" t="s">
        <v>5859</v>
      </c>
      <c r="N39" t="s">
        <v>86</v>
      </c>
      <c r="P39" s="35"/>
      <c r="Q39" t="s">
        <v>76</v>
      </c>
      <c r="R39" t="s">
        <v>1509</v>
      </c>
      <c r="S39" s="6" t="s">
        <v>6133</v>
      </c>
      <c r="T39" s="43" t="s">
        <v>528</v>
      </c>
      <c r="U39" s="43" t="s">
        <v>35</v>
      </c>
      <c r="V39" t="s">
        <v>49</v>
      </c>
      <c r="W39" s="57"/>
      <c r="X39" s="57"/>
      <c r="Y39" t="s">
        <v>50</v>
      </c>
      <c r="Z39" s="39"/>
      <c r="AA39" s="39"/>
      <c r="AB39" t="s">
        <v>62</v>
      </c>
      <c r="AC39" s="42">
        <v>36280</v>
      </c>
      <c r="AD39" s="42">
        <v>36584</v>
      </c>
      <c r="AE39" s="53" t="s">
        <v>51</v>
      </c>
      <c r="AF39" s="54" t="s">
        <v>35</v>
      </c>
      <c r="AG39" s="54"/>
      <c r="AH39" s="39" t="s">
        <v>52</v>
      </c>
      <c r="AI39" s="39" t="s">
        <v>52</v>
      </c>
    </row>
    <row r="40" spans="1:35" ht="17" x14ac:dyDescent="0.2">
      <c r="B40">
        <v>606</v>
      </c>
      <c r="C40" t="s">
        <v>3608</v>
      </c>
      <c r="D40" s="39" t="s">
        <v>3378</v>
      </c>
      <c r="E40" s="39" t="s">
        <v>3379</v>
      </c>
      <c r="F40" s="39" t="s">
        <v>35</v>
      </c>
      <c r="G40" s="39" t="s">
        <v>36</v>
      </c>
      <c r="H40" s="34"/>
      <c r="I40" s="39" t="s">
        <v>3380</v>
      </c>
      <c r="J40" s="39" t="s">
        <v>35</v>
      </c>
      <c r="K40" t="s">
        <v>3381</v>
      </c>
      <c r="L40" t="s">
        <v>1321</v>
      </c>
      <c r="M40" s="6" t="s">
        <v>453</v>
      </c>
      <c r="N40" t="s">
        <v>59</v>
      </c>
      <c r="O40" t="s">
        <v>49</v>
      </c>
      <c r="P40" s="35" t="s">
        <v>50</v>
      </c>
      <c r="Q40" t="s">
        <v>115</v>
      </c>
      <c r="R40" t="s">
        <v>163</v>
      </c>
      <c r="S40" s="6" t="s">
        <v>6074</v>
      </c>
      <c r="T40" s="43" t="s">
        <v>494</v>
      </c>
      <c r="U40" s="43" t="s">
        <v>213</v>
      </c>
      <c r="V40" t="s">
        <v>49</v>
      </c>
      <c r="W40" s="57"/>
      <c r="X40" s="57"/>
      <c r="Y40" t="s">
        <v>50</v>
      </c>
      <c r="Z40" s="39"/>
      <c r="AA40" s="39"/>
      <c r="AB40" t="s">
        <v>115</v>
      </c>
      <c r="AC40" s="42">
        <v>43255</v>
      </c>
      <c r="AD40" s="42">
        <v>43774</v>
      </c>
      <c r="AE40" s="53" t="s">
        <v>51</v>
      </c>
      <c r="AF40" s="54" t="s">
        <v>35</v>
      </c>
      <c r="AG40" s="54"/>
      <c r="AH40" s="39" t="s">
        <v>52</v>
      </c>
      <c r="AI40" s="39" t="s">
        <v>52</v>
      </c>
    </row>
    <row r="41" spans="1:35" ht="17" x14ac:dyDescent="0.2">
      <c r="A41">
        <v>140</v>
      </c>
      <c r="B41">
        <v>72</v>
      </c>
      <c r="C41" t="s">
        <v>3612</v>
      </c>
      <c r="D41" s="39" t="s">
        <v>596</v>
      </c>
      <c r="E41" s="39" t="s">
        <v>597</v>
      </c>
      <c r="F41" s="39" t="s">
        <v>35</v>
      </c>
      <c r="G41" s="39" t="s">
        <v>205</v>
      </c>
      <c r="H41" s="34"/>
      <c r="I41" s="39" t="s">
        <v>598</v>
      </c>
      <c r="J41" s="39" t="s">
        <v>35</v>
      </c>
      <c r="K41" t="s">
        <v>599</v>
      </c>
      <c r="L41" s="49" t="s">
        <v>600</v>
      </c>
      <c r="M41" s="6" t="s">
        <v>212</v>
      </c>
      <c r="N41" t="s">
        <v>86</v>
      </c>
      <c r="O41" t="s">
        <v>49</v>
      </c>
      <c r="P41" s="35" t="s">
        <v>50</v>
      </c>
      <c r="Q41" t="s">
        <v>115</v>
      </c>
      <c r="R41" t="s">
        <v>601</v>
      </c>
      <c r="S41" s="6" t="s">
        <v>3555</v>
      </c>
      <c r="T41" s="43" t="s">
        <v>445</v>
      </c>
      <c r="U41" s="43" t="s">
        <v>324</v>
      </c>
      <c r="V41" t="s">
        <v>49</v>
      </c>
      <c r="W41" s="57"/>
      <c r="X41" s="57"/>
      <c r="Y41" t="s">
        <v>50</v>
      </c>
      <c r="Z41" s="39"/>
      <c r="AA41" s="39"/>
      <c r="AB41" t="s">
        <v>200</v>
      </c>
      <c r="AC41" s="42">
        <v>36280</v>
      </c>
      <c r="AD41" s="42">
        <v>36861</v>
      </c>
      <c r="AE41" s="53" t="s">
        <v>453</v>
      </c>
      <c r="AF41" s="54" t="s">
        <v>35</v>
      </c>
      <c r="AG41" s="54"/>
      <c r="AH41" s="39" t="s">
        <v>70</v>
      </c>
      <c r="AI41" s="39" t="s">
        <v>52</v>
      </c>
    </row>
    <row r="42" spans="1:35" ht="17" x14ac:dyDescent="0.2">
      <c r="A42">
        <v>485</v>
      </c>
      <c r="B42">
        <v>317</v>
      </c>
      <c r="C42" t="s">
        <v>3617</v>
      </c>
      <c r="D42" s="39" t="s">
        <v>1982</v>
      </c>
      <c r="E42" s="39" t="s">
        <v>1983</v>
      </c>
      <c r="F42" s="39" t="s">
        <v>35</v>
      </c>
      <c r="G42" s="39" t="s">
        <v>36</v>
      </c>
      <c r="H42" s="34"/>
      <c r="I42" s="39" t="s">
        <v>1984</v>
      </c>
      <c r="J42" s="39" t="s">
        <v>35</v>
      </c>
      <c r="K42" t="s">
        <v>1985</v>
      </c>
      <c r="L42" t="s">
        <v>1383</v>
      </c>
      <c r="M42" s="6" t="s">
        <v>3589</v>
      </c>
      <c r="N42" t="s">
        <v>97</v>
      </c>
      <c r="O42" t="s">
        <v>49</v>
      </c>
      <c r="P42" s="35" t="s">
        <v>50</v>
      </c>
      <c r="Q42" t="s">
        <v>62</v>
      </c>
      <c r="R42" t="s">
        <v>230</v>
      </c>
      <c r="S42" s="6" t="s">
        <v>756</v>
      </c>
      <c r="T42" s="43" t="s">
        <v>755</v>
      </c>
      <c r="U42" s="43" t="s">
        <v>224</v>
      </c>
      <c r="V42" t="s">
        <v>49</v>
      </c>
      <c r="W42" s="57"/>
      <c r="X42" s="57"/>
      <c r="Y42" t="s">
        <v>50</v>
      </c>
      <c r="Z42" s="39"/>
      <c r="AA42" s="39"/>
      <c r="AB42" t="s">
        <v>44</v>
      </c>
      <c r="AC42" s="42">
        <v>43480</v>
      </c>
      <c r="AD42" s="42">
        <v>44567</v>
      </c>
      <c r="AE42" s="53" t="s">
        <v>51</v>
      </c>
      <c r="AF42" s="54" t="s">
        <v>35</v>
      </c>
      <c r="AG42" s="54"/>
      <c r="AH42" s="39" t="s">
        <v>52</v>
      </c>
      <c r="AI42" s="39" t="s">
        <v>52</v>
      </c>
    </row>
    <row r="43" spans="1:35" ht="17" x14ac:dyDescent="0.2">
      <c r="B43">
        <v>274</v>
      </c>
      <c r="C43" t="s">
        <v>5795</v>
      </c>
      <c r="D43" s="39" t="s">
        <v>1752</v>
      </c>
      <c r="E43" s="39" t="s">
        <v>1758</v>
      </c>
      <c r="F43" s="39" t="s">
        <v>35</v>
      </c>
      <c r="G43" s="39" t="s">
        <v>194</v>
      </c>
      <c r="I43" s="39" t="s">
        <v>1754</v>
      </c>
      <c r="J43" s="39" t="s">
        <v>35</v>
      </c>
      <c r="K43" t="s">
        <v>1755</v>
      </c>
      <c r="L43" t="s">
        <v>1756</v>
      </c>
      <c r="M43" s="6" t="s">
        <v>3589</v>
      </c>
      <c r="N43" t="s">
        <v>86</v>
      </c>
      <c r="O43" t="s">
        <v>190</v>
      </c>
      <c r="P43" s="35" t="s">
        <v>191</v>
      </c>
      <c r="Q43" t="s">
        <v>44</v>
      </c>
      <c r="R43" t="s">
        <v>1759</v>
      </c>
      <c r="S43" s="6" t="s">
        <v>3622</v>
      </c>
      <c r="T43" s="43" t="s">
        <v>459</v>
      </c>
      <c r="U43" s="43" t="s">
        <v>324</v>
      </c>
      <c r="V43" t="s">
        <v>42</v>
      </c>
      <c r="W43" s="57"/>
      <c r="X43" s="57"/>
      <c r="Y43" t="s">
        <v>43</v>
      </c>
      <c r="Z43" s="39"/>
      <c r="AA43" s="39"/>
      <c r="AB43" t="s">
        <v>44</v>
      </c>
      <c r="AC43" s="42">
        <v>33970</v>
      </c>
      <c r="AD43" s="42">
        <v>34700</v>
      </c>
      <c r="AE43" s="53" t="s">
        <v>290</v>
      </c>
      <c r="AF43" s="54" t="s">
        <v>35</v>
      </c>
      <c r="AG43" s="54"/>
      <c r="AH43" s="39" t="s">
        <v>52</v>
      </c>
      <c r="AI43" s="39" t="s">
        <v>70</v>
      </c>
    </row>
    <row r="44" spans="1:35" ht="17" x14ac:dyDescent="0.2">
      <c r="A44">
        <v>87</v>
      </c>
      <c r="B44">
        <v>273</v>
      </c>
      <c r="C44" t="s">
        <v>3620</v>
      </c>
      <c r="D44" s="39" t="s">
        <v>1752</v>
      </c>
      <c r="E44" s="39" t="s">
        <v>1753</v>
      </c>
      <c r="F44" s="39" t="s">
        <v>35</v>
      </c>
      <c r="G44" s="39" t="s">
        <v>194</v>
      </c>
      <c r="H44" s="34"/>
      <c r="I44" s="39" t="s">
        <v>1754</v>
      </c>
      <c r="J44" s="39" t="s">
        <v>35</v>
      </c>
      <c r="K44" t="s">
        <v>1755</v>
      </c>
      <c r="L44" t="s">
        <v>1756</v>
      </c>
      <c r="M44" s="6" t="s">
        <v>5860</v>
      </c>
      <c r="N44" t="s">
        <v>86</v>
      </c>
      <c r="O44" t="s">
        <v>190</v>
      </c>
      <c r="P44" s="35" t="s">
        <v>191</v>
      </c>
      <c r="Q44" t="s">
        <v>35</v>
      </c>
      <c r="R44" t="s">
        <v>1757</v>
      </c>
      <c r="S44" s="6" t="s">
        <v>3627</v>
      </c>
      <c r="T44" s="43" t="s">
        <v>417</v>
      </c>
      <c r="U44" s="43" t="s">
        <v>246</v>
      </c>
      <c r="V44" t="s">
        <v>190</v>
      </c>
      <c r="W44" s="57"/>
      <c r="X44" s="57"/>
      <c r="Y44" t="s">
        <v>191</v>
      </c>
      <c r="Z44" s="39"/>
      <c r="AA44" s="39"/>
      <c r="AB44" t="s">
        <v>44</v>
      </c>
      <c r="AC44" s="42">
        <v>34236</v>
      </c>
      <c r="AD44" s="42">
        <v>34824</v>
      </c>
      <c r="AE44" s="53" t="s">
        <v>290</v>
      </c>
      <c r="AF44" s="54" t="s">
        <v>35</v>
      </c>
      <c r="AG44" s="54"/>
      <c r="AH44" s="39" t="s">
        <v>70</v>
      </c>
      <c r="AI44" s="39" t="s">
        <v>52</v>
      </c>
    </row>
    <row r="45" spans="1:35" ht="17" x14ac:dyDescent="0.2">
      <c r="A45">
        <v>595</v>
      </c>
      <c r="B45">
        <v>37</v>
      </c>
      <c r="C45" t="s">
        <v>5761</v>
      </c>
      <c r="D45" s="39" t="s">
        <v>364</v>
      </c>
      <c r="E45" s="39" t="s">
        <v>365</v>
      </c>
      <c r="F45" s="39" t="s">
        <v>35</v>
      </c>
      <c r="G45" s="39" t="s">
        <v>259</v>
      </c>
      <c r="I45" s="39" t="s">
        <v>366</v>
      </c>
      <c r="J45" s="39" t="s">
        <v>35</v>
      </c>
      <c r="K45" t="s">
        <v>367</v>
      </c>
      <c r="L45" t="s">
        <v>368</v>
      </c>
      <c r="M45" s="6" t="s">
        <v>51</v>
      </c>
      <c r="N45" t="s">
        <v>131</v>
      </c>
      <c r="O45" t="s">
        <v>42</v>
      </c>
      <c r="P45" s="35" t="s">
        <v>43</v>
      </c>
      <c r="Q45" t="s">
        <v>62</v>
      </c>
      <c r="R45" t="s">
        <v>369</v>
      </c>
      <c r="S45" s="6" t="s">
        <v>3461</v>
      </c>
      <c r="T45" s="43" t="s">
        <v>213</v>
      </c>
      <c r="U45" s="43" t="s">
        <v>213</v>
      </c>
      <c r="V45" t="s">
        <v>49</v>
      </c>
      <c r="W45" s="57"/>
      <c r="X45" s="57"/>
      <c r="Y45" t="s">
        <v>50</v>
      </c>
      <c r="Z45" s="39"/>
      <c r="AA45" s="39"/>
      <c r="AB45" t="s">
        <v>62</v>
      </c>
      <c r="AC45" s="42">
        <v>44571</v>
      </c>
      <c r="AD45" s="42">
        <v>45665</v>
      </c>
      <c r="AE45" s="53" t="s">
        <v>239</v>
      </c>
      <c r="AF45" s="54" t="s">
        <v>35</v>
      </c>
      <c r="AG45" s="54"/>
      <c r="AH45" s="39" t="s">
        <v>70</v>
      </c>
      <c r="AI45" s="39" t="s">
        <v>70</v>
      </c>
    </row>
    <row r="46" spans="1:35" ht="17" x14ac:dyDescent="0.2">
      <c r="A46" t="s">
        <v>35</v>
      </c>
      <c r="B46">
        <v>46</v>
      </c>
      <c r="C46" t="s">
        <v>5762</v>
      </c>
      <c r="D46" s="39" t="s">
        <v>426</v>
      </c>
      <c r="E46" s="39" t="s">
        <v>365</v>
      </c>
      <c r="F46" s="39" t="s">
        <v>427</v>
      </c>
      <c r="G46" s="39" t="s">
        <v>160</v>
      </c>
      <c r="I46" s="39" t="s">
        <v>428</v>
      </c>
      <c r="J46" s="39" t="s">
        <v>35</v>
      </c>
      <c r="K46" t="s">
        <v>429</v>
      </c>
      <c r="L46" t="s">
        <v>188</v>
      </c>
      <c r="M46" s="6" t="s">
        <v>5861</v>
      </c>
      <c r="N46" t="s">
        <v>86</v>
      </c>
      <c r="O46" t="s">
        <v>42</v>
      </c>
      <c r="P46" s="35" t="s">
        <v>43</v>
      </c>
      <c r="Q46" t="s">
        <v>44</v>
      </c>
      <c r="R46" t="s">
        <v>430</v>
      </c>
      <c r="S46" s="6" t="s">
        <v>6134</v>
      </c>
      <c r="T46" s="43" t="s">
        <v>400</v>
      </c>
      <c r="U46" s="43" t="s">
        <v>409</v>
      </c>
      <c r="V46" t="s">
        <v>42</v>
      </c>
      <c r="W46" s="57"/>
      <c r="X46" s="57"/>
      <c r="Y46" t="s">
        <v>43</v>
      </c>
      <c r="Z46" s="39"/>
      <c r="AA46" s="39"/>
      <c r="AB46" t="s">
        <v>115</v>
      </c>
      <c r="AC46" s="42">
        <v>41666</v>
      </c>
      <c r="AD46" s="42">
        <v>42268</v>
      </c>
      <c r="AE46" s="53" t="s">
        <v>239</v>
      </c>
      <c r="AF46" s="54" t="s">
        <v>35</v>
      </c>
      <c r="AG46" s="54"/>
      <c r="AH46" s="39" t="s">
        <v>70</v>
      </c>
      <c r="AI46" s="39" t="s">
        <v>52</v>
      </c>
    </row>
    <row r="47" spans="1:35" ht="17" x14ac:dyDescent="0.2">
      <c r="A47">
        <v>278</v>
      </c>
      <c r="B47">
        <v>58</v>
      </c>
      <c r="C47" t="s">
        <v>3628</v>
      </c>
      <c r="D47" s="39" t="s">
        <v>502</v>
      </c>
      <c r="E47" s="39" t="s">
        <v>365</v>
      </c>
      <c r="F47" s="39" t="s">
        <v>35</v>
      </c>
      <c r="G47" s="39" t="s">
        <v>55</v>
      </c>
      <c r="H47" s="34"/>
      <c r="I47" s="39" t="s">
        <v>503</v>
      </c>
      <c r="J47" s="39" t="s">
        <v>35</v>
      </c>
      <c r="K47" t="s">
        <v>504</v>
      </c>
      <c r="L47" s="49" t="s">
        <v>505</v>
      </c>
      <c r="M47" s="6" t="s">
        <v>5862</v>
      </c>
      <c r="N47" s="36" t="s">
        <v>86</v>
      </c>
      <c r="O47" t="s">
        <v>506</v>
      </c>
      <c r="P47" s="35"/>
      <c r="Q47" t="s">
        <v>115</v>
      </c>
      <c r="R47" t="s">
        <v>507</v>
      </c>
      <c r="S47" s="6" t="s">
        <v>64</v>
      </c>
      <c r="T47" s="43" t="s">
        <v>508</v>
      </c>
      <c r="U47" s="43" t="s">
        <v>509</v>
      </c>
      <c r="V47" t="s">
        <v>510</v>
      </c>
      <c r="W47" s="57"/>
      <c r="X47" s="57"/>
      <c r="Y47" t="s">
        <v>50</v>
      </c>
      <c r="Z47" s="39"/>
      <c r="AA47" s="39"/>
      <c r="AB47" t="s">
        <v>115</v>
      </c>
      <c r="AC47" s="42">
        <v>38860</v>
      </c>
      <c r="AD47" s="42">
        <v>39882</v>
      </c>
      <c r="AE47" s="53" t="s">
        <v>157</v>
      </c>
      <c r="AF47" s="54" t="s">
        <v>35</v>
      </c>
      <c r="AG47" s="54"/>
      <c r="AH47" s="39" t="s">
        <v>70</v>
      </c>
      <c r="AI47" s="39" t="s">
        <v>52</v>
      </c>
    </row>
    <row r="48" spans="1:35" ht="17" x14ac:dyDescent="0.2">
      <c r="A48">
        <v>308</v>
      </c>
      <c r="B48">
        <v>63</v>
      </c>
      <c r="C48" t="s">
        <v>3635</v>
      </c>
      <c r="D48" s="39" t="s">
        <v>537</v>
      </c>
      <c r="E48" s="39" t="s">
        <v>365</v>
      </c>
      <c r="F48" s="39" t="s">
        <v>35</v>
      </c>
      <c r="G48" s="39" t="s">
        <v>82</v>
      </c>
      <c r="I48" s="39" t="s">
        <v>538</v>
      </c>
      <c r="J48" s="39" t="s">
        <v>539</v>
      </c>
      <c r="K48" t="s">
        <v>540</v>
      </c>
      <c r="L48" s="49" t="s">
        <v>75</v>
      </c>
      <c r="M48" s="6" t="s">
        <v>212</v>
      </c>
      <c r="N48" t="s">
        <v>86</v>
      </c>
      <c r="O48" t="s">
        <v>60</v>
      </c>
      <c r="P48" s="35" t="s">
        <v>61</v>
      </c>
      <c r="Q48" t="s">
        <v>76</v>
      </c>
      <c r="R48" t="s">
        <v>541</v>
      </c>
      <c r="S48" s="6" t="s">
        <v>6052</v>
      </c>
      <c r="T48" s="43" t="s">
        <v>279</v>
      </c>
      <c r="U48" s="43" t="s">
        <v>409</v>
      </c>
      <c r="V48" t="s">
        <v>49</v>
      </c>
      <c r="W48" s="57"/>
      <c r="X48" s="57"/>
      <c r="Y48" t="s">
        <v>50</v>
      </c>
      <c r="Z48" s="39"/>
      <c r="AA48" s="39"/>
      <c r="AB48" t="s">
        <v>62</v>
      </c>
      <c r="AC48" s="42">
        <v>39329</v>
      </c>
      <c r="AD48" s="42">
        <v>40190</v>
      </c>
      <c r="AE48" s="53" t="s">
        <v>51</v>
      </c>
      <c r="AF48" s="54" t="s">
        <v>35</v>
      </c>
      <c r="AG48" s="54"/>
      <c r="AH48" s="39" t="s">
        <v>52</v>
      </c>
      <c r="AI48" s="39" t="s">
        <v>52</v>
      </c>
    </row>
    <row r="49" spans="1:35" ht="17" x14ac:dyDescent="0.2">
      <c r="A49">
        <v>524</v>
      </c>
      <c r="B49">
        <v>112</v>
      </c>
      <c r="C49" t="s">
        <v>3639</v>
      </c>
      <c r="D49" s="39" t="s">
        <v>861</v>
      </c>
      <c r="E49" s="39" t="s">
        <v>365</v>
      </c>
      <c r="F49" s="39" t="s">
        <v>35</v>
      </c>
      <c r="G49" s="39" t="s">
        <v>36</v>
      </c>
      <c r="I49" s="39" t="s">
        <v>862</v>
      </c>
      <c r="J49" s="39" t="s">
        <v>35</v>
      </c>
      <c r="K49" t="s">
        <v>863</v>
      </c>
      <c r="L49" s="49" t="s">
        <v>864</v>
      </c>
      <c r="M49" s="6" t="s">
        <v>5863</v>
      </c>
      <c r="N49" t="s">
        <v>97</v>
      </c>
      <c r="O49" t="s">
        <v>49</v>
      </c>
      <c r="P49" s="35" t="s">
        <v>50</v>
      </c>
      <c r="Q49" t="s">
        <v>132</v>
      </c>
      <c r="R49" t="s">
        <v>865</v>
      </c>
      <c r="S49" s="6" t="s">
        <v>4559</v>
      </c>
      <c r="T49" s="43" t="s">
        <v>387</v>
      </c>
      <c r="U49" s="43" t="s">
        <v>338</v>
      </c>
      <c r="V49" t="s">
        <v>49</v>
      </c>
      <c r="W49" s="57"/>
      <c r="X49" s="57"/>
      <c r="Y49" t="s">
        <v>50</v>
      </c>
      <c r="Z49" s="39"/>
      <c r="AA49" s="39"/>
      <c r="AB49" t="s">
        <v>62</v>
      </c>
      <c r="AC49" s="42">
        <v>43831</v>
      </c>
      <c r="AD49" s="42">
        <v>44927</v>
      </c>
      <c r="AE49" s="53" t="s">
        <v>51</v>
      </c>
      <c r="AF49" s="54" t="s">
        <v>35</v>
      </c>
      <c r="AG49" s="54"/>
      <c r="AH49" s="39" t="s">
        <v>52</v>
      </c>
      <c r="AI49" s="39" t="s">
        <v>52</v>
      </c>
    </row>
    <row r="50" spans="1:35" ht="17" x14ac:dyDescent="0.2">
      <c r="A50">
        <v>501</v>
      </c>
      <c r="B50">
        <v>203</v>
      </c>
      <c r="C50" t="s">
        <v>3644</v>
      </c>
      <c r="D50" s="39" t="s">
        <v>1385</v>
      </c>
      <c r="E50" s="39" t="s">
        <v>365</v>
      </c>
      <c r="F50" s="39" t="s">
        <v>35</v>
      </c>
      <c r="G50" s="39" t="s">
        <v>36</v>
      </c>
      <c r="I50" s="39" t="s">
        <v>1386</v>
      </c>
      <c r="J50" s="39" t="s">
        <v>35</v>
      </c>
      <c r="K50" t="s">
        <v>1387</v>
      </c>
      <c r="L50" t="s">
        <v>1388</v>
      </c>
      <c r="M50" s="6" t="s">
        <v>5864</v>
      </c>
      <c r="N50" s="38" t="s">
        <v>97</v>
      </c>
      <c r="O50" t="s">
        <v>1389</v>
      </c>
      <c r="P50" s="35" t="s">
        <v>1390</v>
      </c>
      <c r="Q50" t="s">
        <v>180</v>
      </c>
      <c r="R50" t="s">
        <v>1391</v>
      </c>
      <c r="S50" s="6" t="s">
        <v>3649</v>
      </c>
      <c r="T50" s="43" t="s">
        <v>246</v>
      </c>
      <c r="U50" s="43" t="s">
        <v>954</v>
      </c>
      <c r="V50" t="s">
        <v>60</v>
      </c>
      <c r="W50" s="57"/>
      <c r="X50" s="57"/>
      <c r="Y50" t="s">
        <v>61</v>
      </c>
      <c r="Z50" s="39"/>
      <c r="AA50" s="39"/>
      <c r="AB50" t="s">
        <v>62</v>
      </c>
      <c r="AC50" s="42">
        <v>43506</v>
      </c>
      <c r="AD50" s="42">
        <v>43800</v>
      </c>
      <c r="AE50" s="53" t="s">
        <v>51</v>
      </c>
      <c r="AF50" s="54" t="s">
        <v>35</v>
      </c>
      <c r="AG50" s="54"/>
      <c r="AH50" s="39" t="s">
        <v>52</v>
      </c>
      <c r="AI50" s="39" t="s">
        <v>52</v>
      </c>
    </row>
    <row r="51" spans="1:35" ht="17" x14ac:dyDescent="0.2">
      <c r="A51">
        <v>334</v>
      </c>
      <c r="B51">
        <v>210</v>
      </c>
      <c r="C51" t="s">
        <v>3647</v>
      </c>
      <c r="D51" s="39" t="s">
        <v>1425</v>
      </c>
      <c r="E51" s="39" t="s">
        <v>365</v>
      </c>
      <c r="F51" s="39" t="s">
        <v>35</v>
      </c>
      <c r="G51" s="39" t="s">
        <v>160</v>
      </c>
      <c r="I51" s="39" t="s">
        <v>1426</v>
      </c>
      <c r="J51" s="39" t="s">
        <v>35</v>
      </c>
      <c r="K51" t="s">
        <v>1427</v>
      </c>
      <c r="L51" t="s">
        <v>1428</v>
      </c>
      <c r="M51" s="6" t="s">
        <v>3655</v>
      </c>
      <c r="N51" t="s">
        <v>41</v>
      </c>
      <c r="O51" t="s">
        <v>1429</v>
      </c>
      <c r="P51" s="35" t="s">
        <v>1430</v>
      </c>
      <c r="Q51" t="s">
        <v>200</v>
      </c>
      <c r="R51" t="s">
        <v>163</v>
      </c>
      <c r="S51" s="6" t="s">
        <v>3655</v>
      </c>
      <c r="T51" s="43" t="s">
        <v>528</v>
      </c>
      <c r="U51" s="43" t="s">
        <v>145</v>
      </c>
      <c r="V51" t="s">
        <v>1429</v>
      </c>
      <c r="W51" s="57"/>
      <c r="X51" s="57"/>
      <c r="Y51" t="s">
        <v>1430</v>
      </c>
      <c r="Z51" s="39"/>
      <c r="AA51" s="39"/>
      <c r="AB51" t="s">
        <v>62</v>
      </c>
      <c r="AC51" s="42">
        <v>40568</v>
      </c>
      <c r="AD51" s="42">
        <v>41296</v>
      </c>
      <c r="AE51" s="53" t="s">
        <v>157</v>
      </c>
      <c r="AF51" s="54" t="s">
        <v>35</v>
      </c>
      <c r="AG51" s="54"/>
      <c r="AH51" s="39" t="s">
        <v>70</v>
      </c>
      <c r="AI51" s="39" t="s">
        <v>52</v>
      </c>
    </row>
    <row r="52" spans="1:35" ht="17" x14ac:dyDescent="0.2">
      <c r="A52">
        <v>222</v>
      </c>
      <c r="B52">
        <v>285</v>
      </c>
      <c r="C52" t="s">
        <v>3652</v>
      </c>
      <c r="D52" s="39" t="s">
        <v>1815</v>
      </c>
      <c r="E52" s="39" t="s">
        <v>365</v>
      </c>
      <c r="F52" s="39" t="s">
        <v>35</v>
      </c>
      <c r="G52" s="39" t="s">
        <v>82</v>
      </c>
      <c r="H52" s="34"/>
      <c r="I52" s="39" t="s">
        <v>1816</v>
      </c>
      <c r="J52" s="39" t="s">
        <v>35</v>
      </c>
      <c r="K52" t="s">
        <v>1817</v>
      </c>
      <c r="L52" t="s">
        <v>1818</v>
      </c>
      <c r="M52" s="6" t="s">
        <v>5865</v>
      </c>
      <c r="N52" t="s">
        <v>86</v>
      </c>
      <c r="O52" t="s">
        <v>198</v>
      </c>
      <c r="P52" s="35" t="s">
        <v>199</v>
      </c>
      <c r="Q52" t="s">
        <v>100</v>
      </c>
      <c r="R52" t="s">
        <v>1819</v>
      </c>
      <c r="S52" s="6" t="s">
        <v>153</v>
      </c>
      <c r="T52" s="43" t="s">
        <v>1106</v>
      </c>
      <c r="U52" s="43" t="s">
        <v>324</v>
      </c>
      <c r="V52" t="s">
        <v>123</v>
      </c>
      <c r="W52" s="57"/>
      <c r="X52" s="57"/>
      <c r="Y52" t="s">
        <v>99</v>
      </c>
      <c r="Z52" s="39"/>
      <c r="AA52" s="39"/>
      <c r="AB52" t="s">
        <v>200</v>
      </c>
      <c r="AC52" s="42">
        <v>37642</v>
      </c>
      <c r="AD52" s="42">
        <v>39083</v>
      </c>
      <c r="AE52" s="53" t="s">
        <v>805</v>
      </c>
      <c r="AF52" s="54" t="s">
        <v>35</v>
      </c>
      <c r="AG52" s="54"/>
      <c r="AH52" s="39" t="s">
        <v>52</v>
      </c>
      <c r="AI52" s="39" t="s">
        <v>52</v>
      </c>
    </row>
    <row r="53" spans="1:35" ht="17" x14ac:dyDescent="0.2">
      <c r="A53">
        <v>299</v>
      </c>
      <c r="B53">
        <v>287</v>
      </c>
      <c r="C53" t="s">
        <v>3658</v>
      </c>
      <c r="D53" s="39" t="s">
        <v>1826</v>
      </c>
      <c r="E53" s="39" t="s">
        <v>365</v>
      </c>
      <c r="F53" s="39" t="s">
        <v>35</v>
      </c>
      <c r="G53" s="39" t="s">
        <v>55</v>
      </c>
      <c r="I53" s="39" t="s">
        <v>1827</v>
      </c>
      <c r="J53" s="39" t="s">
        <v>35</v>
      </c>
      <c r="K53" t="s">
        <v>1828</v>
      </c>
      <c r="L53" t="s">
        <v>1829</v>
      </c>
      <c r="M53" s="6" t="s">
        <v>3589</v>
      </c>
      <c r="N53" s="36" t="s">
        <v>86</v>
      </c>
      <c r="P53" s="35"/>
      <c r="Q53" t="s">
        <v>44</v>
      </c>
      <c r="R53" t="s">
        <v>816</v>
      </c>
      <c r="S53" s="6" t="s">
        <v>3666</v>
      </c>
      <c r="T53" s="43" t="s">
        <v>713</v>
      </c>
      <c r="U53" s="43" t="s">
        <v>213</v>
      </c>
      <c r="V53" t="s">
        <v>42</v>
      </c>
      <c r="W53" s="57"/>
      <c r="X53" s="57"/>
      <c r="Y53" t="s">
        <v>43</v>
      </c>
      <c r="Z53" s="39"/>
      <c r="AA53" s="39"/>
      <c r="AB53" t="s">
        <v>44</v>
      </c>
      <c r="AC53" s="42" t="s">
        <v>880</v>
      </c>
      <c r="AD53" s="42" t="s">
        <v>1830</v>
      </c>
      <c r="AE53" s="53" t="s">
        <v>239</v>
      </c>
      <c r="AF53" s="54" t="s">
        <v>35</v>
      </c>
      <c r="AG53" s="54"/>
      <c r="AH53" s="39" t="s">
        <v>70</v>
      </c>
      <c r="AI53" s="39" t="s">
        <v>52</v>
      </c>
    </row>
    <row r="54" spans="1:35" ht="17" x14ac:dyDescent="0.2">
      <c r="A54">
        <v>188</v>
      </c>
      <c r="B54">
        <v>288</v>
      </c>
      <c r="C54" t="s">
        <v>3662</v>
      </c>
      <c r="D54" s="39" t="s">
        <v>1831</v>
      </c>
      <c r="E54" s="39" t="s">
        <v>365</v>
      </c>
      <c r="F54" s="39" t="s">
        <v>35</v>
      </c>
      <c r="G54" s="39" t="s">
        <v>82</v>
      </c>
      <c r="I54" s="39" t="s">
        <v>1832</v>
      </c>
      <c r="J54" s="39" t="s">
        <v>1833</v>
      </c>
      <c r="K54" t="s">
        <v>1834</v>
      </c>
      <c r="L54" t="s">
        <v>1835</v>
      </c>
      <c r="M54" s="6" t="s">
        <v>3461</v>
      </c>
      <c r="N54" t="s">
        <v>86</v>
      </c>
      <c r="O54" t="s">
        <v>49</v>
      </c>
      <c r="P54" s="35" t="s">
        <v>50</v>
      </c>
      <c r="Q54" t="s">
        <v>115</v>
      </c>
      <c r="R54" t="s">
        <v>1836</v>
      </c>
      <c r="S54" s="6" t="s">
        <v>35</v>
      </c>
      <c r="T54" s="43" t="s">
        <v>288</v>
      </c>
      <c r="U54" s="43" t="s">
        <v>338</v>
      </c>
      <c r="V54" t="s">
        <v>49</v>
      </c>
      <c r="W54" s="57"/>
      <c r="X54" s="57"/>
      <c r="Y54" t="s">
        <v>50</v>
      </c>
      <c r="Z54" s="39"/>
      <c r="AA54" s="39"/>
      <c r="AB54" t="s">
        <v>115</v>
      </c>
      <c r="AC54" s="42">
        <v>37013</v>
      </c>
      <c r="AD54" s="42">
        <v>37649</v>
      </c>
      <c r="AE54" s="53" t="s">
        <v>51</v>
      </c>
      <c r="AF54" s="54" t="s">
        <v>35</v>
      </c>
      <c r="AG54" s="54"/>
      <c r="AH54" s="39" t="s">
        <v>52</v>
      </c>
      <c r="AI54" s="39" t="s">
        <v>52</v>
      </c>
    </row>
    <row r="55" spans="1:35" ht="17" x14ac:dyDescent="0.2">
      <c r="A55">
        <v>512</v>
      </c>
      <c r="B55">
        <v>333</v>
      </c>
      <c r="C55" t="s">
        <v>3667</v>
      </c>
      <c r="D55" s="39" t="s">
        <v>2071</v>
      </c>
      <c r="E55" s="39" t="s">
        <v>365</v>
      </c>
      <c r="F55" s="39" t="s">
        <v>35</v>
      </c>
      <c r="G55" s="39" t="s">
        <v>35</v>
      </c>
      <c r="I55" s="39" t="s">
        <v>2072</v>
      </c>
      <c r="J55" s="39" t="s">
        <v>35</v>
      </c>
      <c r="K55" t="s">
        <v>2073</v>
      </c>
      <c r="L55" t="s">
        <v>2074</v>
      </c>
      <c r="M55" s="6" t="s">
        <v>3493</v>
      </c>
      <c r="N55" t="s">
        <v>131</v>
      </c>
      <c r="O55" t="s">
        <v>49</v>
      </c>
      <c r="P55" s="35" t="s">
        <v>50</v>
      </c>
      <c r="Q55" t="s">
        <v>811</v>
      </c>
      <c r="S55" s="6" t="s">
        <v>40</v>
      </c>
      <c r="T55" s="43" t="s">
        <v>35</v>
      </c>
      <c r="U55" s="43" t="s">
        <v>35</v>
      </c>
      <c r="W55" s="57"/>
      <c r="X55" s="57"/>
      <c r="Z55" s="39"/>
      <c r="AA55" s="39"/>
      <c r="AB55" t="s">
        <v>35</v>
      </c>
      <c r="AC55" s="42">
        <v>43843</v>
      </c>
      <c r="AE55" s="53" t="s">
        <v>51</v>
      </c>
      <c r="AF55" s="54" t="s">
        <v>35</v>
      </c>
      <c r="AG55" s="54"/>
      <c r="AH55" s="39" t="s">
        <v>52</v>
      </c>
      <c r="AI55" s="39" t="s">
        <v>52</v>
      </c>
    </row>
    <row r="56" spans="1:35" ht="17" x14ac:dyDescent="0.2">
      <c r="A56">
        <v>214</v>
      </c>
      <c r="B56">
        <v>341</v>
      </c>
      <c r="C56" t="s">
        <v>3672</v>
      </c>
      <c r="D56" s="39" t="s">
        <v>2099</v>
      </c>
      <c r="E56" s="39" t="s">
        <v>365</v>
      </c>
      <c r="F56" s="39" t="s">
        <v>35</v>
      </c>
      <c r="G56" s="39" t="s">
        <v>82</v>
      </c>
      <c r="I56" s="39" t="s">
        <v>2100</v>
      </c>
      <c r="J56" s="39" t="s">
        <v>35</v>
      </c>
      <c r="K56" t="s">
        <v>2101</v>
      </c>
      <c r="L56" t="s">
        <v>2102</v>
      </c>
      <c r="M56" s="6" t="s">
        <v>212</v>
      </c>
      <c r="N56" t="s">
        <v>86</v>
      </c>
      <c r="O56" t="s">
        <v>42</v>
      </c>
      <c r="P56" s="35" t="s">
        <v>43</v>
      </c>
      <c r="Q56" t="s">
        <v>44</v>
      </c>
      <c r="R56" t="s">
        <v>816</v>
      </c>
      <c r="S56" s="6" t="s">
        <v>3676</v>
      </c>
      <c r="T56" s="43" t="s">
        <v>2103</v>
      </c>
      <c r="U56" s="43" t="s">
        <v>114</v>
      </c>
      <c r="V56" t="s">
        <v>42</v>
      </c>
      <c r="W56" s="57"/>
      <c r="X56" s="57"/>
      <c r="Y56" t="s">
        <v>43</v>
      </c>
      <c r="Z56" s="39"/>
      <c r="AA56" s="39"/>
      <c r="AB56" t="s">
        <v>44</v>
      </c>
      <c r="AC56" s="42">
        <v>37387</v>
      </c>
      <c r="AD56" s="42">
        <v>38007</v>
      </c>
      <c r="AE56" s="53" t="s">
        <v>51</v>
      </c>
      <c r="AF56" s="54" t="s">
        <v>35</v>
      </c>
      <c r="AG56" s="54"/>
      <c r="AH56" s="39" t="s">
        <v>52</v>
      </c>
      <c r="AI56" s="39" t="s">
        <v>52</v>
      </c>
    </row>
    <row r="57" spans="1:35" ht="17" x14ac:dyDescent="0.2">
      <c r="A57">
        <v>465</v>
      </c>
      <c r="B57">
        <v>343</v>
      </c>
      <c r="C57" t="s">
        <v>3674</v>
      </c>
      <c r="D57" s="39" t="s">
        <v>2110</v>
      </c>
      <c r="E57" s="39" t="s">
        <v>365</v>
      </c>
      <c r="F57" s="39" t="s">
        <v>35</v>
      </c>
      <c r="G57" s="39" t="s">
        <v>36</v>
      </c>
      <c r="I57" s="39" t="s">
        <v>2111</v>
      </c>
      <c r="J57" s="39" t="s">
        <v>2112</v>
      </c>
      <c r="K57" t="s">
        <v>2113</v>
      </c>
      <c r="L57" t="s">
        <v>1876</v>
      </c>
      <c r="M57" s="6" t="s">
        <v>5866</v>
      </c>
      <c r="N57" t="s">
        <v>59</v>
      </c>
      <c r="O57" t="s">
        <v>49</v>
      </c>
      <c r="P57" s="35" t="s">
        <v>50</v>
      </c>
      <c r="Q57" t="s">
        <v>62</v>
      </c>
      <c r="R57" t="s">
        <v>2114</v>
      </c>
      <c r="S57" s="6" t="s">
        <v>3555</v>
      </c>
      <c r="T57" s="43" t="s">
        <v>48</v>
      </c>
      <c r="U57" s="43" t="s">
        <v>2115</v>
      </c>
      <c r="V57" t="s">
        <v>49</v>
      </c>
      <c r="W57" s="57"/>
      <c r="X57" s="57"/>
      <c r="Y57" t="s">
        <v>50</v>
      </c>
      <c r="Z57" s="39"/>
      <c r="AA57" s="39"/>
      <c r="AB57" t="s">
        <v>44</v>
      </c>
      <c r="AC57" s="42">
        <v>43255</v>
      </c>
      <c r="AD57" s="42">
        <v>43905</v>
      </c>
      <c r="AE57" s="53" t="s">
        <v>51</v>
      </c>
      <c r="AF57" s="54" t="s">
        <v>35</v>
      </c>
      <c r="AG57" s="54"/>
      <c r="AH57" s="39" t="s">
        <v>52</v>
      </c>
      <c r="AI57" s="39" t="s">
        <v>52</v>
      </c>
    </row>
    <row r="58" spans="1:35" ht="17" x14ac:dyDescent="0.2">
      <c r="A58">
        <v>404</v>
      </c>
      <c r="B58">
        <v>353</v>
      </c>
      <c r="C58" t="s">
        <v>3677</v>
      </c>
      <c r="D58" s="39" t="s">
        <v>2167</v>
      </c>
      <c r="E58" s="39" t="s">
        <v>365</v>
      </c>
      <c r="F58" s="39" t="s">
        <v>35</v>
      </c>
      <c r="G58" s="39" t="s">
        <v>160</v>
      </c>
      <c r="H58" s="34"/>
      <c r="I58" s="39" t="s">
        <v>2168</v>
      </c>
      <c r="J58" s="39" t="s">
        <v>2169</v>
      </c>
      <c r="K58" t="s">
        <v>2170</v>
      </c>
      <c r="L58" t="s">
        <v>573</v>
      </c>
      <c r="M58" s="6" t="s">
        <v>5327</v>
      </c>
      <c r="N58" t="s">
        <v>59</v>
      </c>
      <c r="O58" t="s">
        <v>49</v>
      </c>
      <c r="P58" s="35" t="s">
        <v>50</v>
      </c>
      <c r="Q58" t="s">
        <v>62</v>
      </c>
      <c r="R58" t="s">
        <v>2171</v>
      </c>
      <c r="S58" s="6" t="s">
        <v>35</v>
      </c>
      <c r="T58" s="43" t="s">
        <v>2172</v>
      </c>
      <c r="U58" s="43" t="s">
        <v>400</v>
      </c>
      <c r="V58" t="s">
        <v>60</v>
      </c>
      <c r="W58" s="57"/>
      <c r="X58" s="57"/>
      <c r="Y58" t="s">
        <v>61</v>
      </c>
      <c r="Z58" s="39"/>
      <c r="AA58" s="39"/>
      <c r="AB58" t="s">
        <v>44</v>
      </c>
      <c r="AC58" s="42">
        <v>42278</v>
      </c>
      <c r="AD58" s="42">
        <v>43040</v>
      </c>
      <c r="AE58" s="53" t="s">
        <v>157</v>
      </c>
      <c r="AF58" s="54" t="s">
        <v>35</v>
      </c>
      <c r="AG58" s="54"/>
      <c r="AH58" s="39" t="s">
        <v>70</v>
      </c>
      <c r="AI58" s="39" t="s">
        <v>52</v>
      </c>
    </row>
    <row r="59" spans="1:35" ht="17" x14ac:dyDescent="0.2">
      <c r="A59">
        <v>65</v>
      </c>
      <c r="B59">
        <v>361</v>
      </c>
      <c r="C59" t="s">
        <v>3683</v>
      </c>
      <c r="D59" s="39" t="s">
        <v>2208</v>
      </c>
      <c r="E59" s="39" t="s">
        <v>365</v>
      </c>
      <c r="F59" s="39" t="s">
        <v>35</v>
      </c>
      <c r="G59" s="39" t="s">
        <v>194</v>
      </c>
      <c r="I59" s="39" t="s">
        <v>2209</v>
      </c>
      <c r="J59" s="39" t="s">
        <v>35</v>
      </c>
      <c r="K59" t="s">
        <v>2210</v>
      </c>
      <c r="L59" t="s">
        <v>35</v>
      </c>
      <c r="M59" s="6" t="s">
        <v>5867</v>
      </c>
      <c r="P59" s="35"/>
      <c r="Q59" t="s">
        <v>35</v>
      </c>
      <c r="S59" s="6" t="s">
        <v>6135</v>
      </c>
      <c r="T59" s="43" t="s">
        <v>35</v>
      </c>
      <c r="U59" s="43" t="s">
        <v>35</v>
      </c>
      <c r="W59" s="57"/>
      <c r="X59" s="57"/>
      <c r="Z59" s="39"/>
      <c r="AA59" s="39"/>
      <c r="AB59" t="s">
        <v>35</v>
      </c>
      <c r="AC59" s="42">
        <v>33419</v>
      </c>
      <c r="AD59" s="42">
        <v>34233</v>
      </c>
      <c r="AE59" s="53" t="s">
        <v>51</v>
      </c>
      <c r="AF59" s="54" t="s">
        <v>35</v>
      </c>
      <c r="AG59" s="54"/>
      <c r="AH59" s="39" t="s">
        <v>52</v>
      </c>
      <c r="AI59" s="39" t="s">
        <v>52</v>
      </c>
    </row>
    <row r="60" spans="1:35" ht="17" x14ac:dyDescent="0.2">
      <c r="A60">
        <v>265</v>
      </c>
      <c r="B60">
        <v>385</v>
      </c>
      <c r="C60" t="s">
        <v>3684</v>
      </c>
      <c r="D60" s="39" t="s">
        <v>2331</v>
      </c>
      <c r="E60" s="39" t="s">
        <v>365</v>
      </c>
      <c r="F60" s="39" t="s">
        <v>35</v>
      </c>
      <c r="G60" s="39" t="s">
        <v>82</v>
      </c>
      <c r="I60" s="39" t="s">
        <v>2332</v>
      </c>
      <c r="J60" s="39" t="s">
        <v>35</v>
      </c>
      <c r="K60" t="s">
        <v>2333</v>
      </c>
      <c r="L60" t="s">
        <v>2334</v>
      </c>
      <c r="M60" s="6" t="s">
        <v>5868</v>
      </c>
      <c r="N60" t="s">
        <v>59</v>
      </c>
      <c r="O60" t="s">
        <v>399</v>
      </c>
      <c r="P60" s="35" t="s">
        <v>50</v>
      </c>
      <c r="Q60" t="s">
        <v>100</v>
      </c>
      <c r="R60" t="s">
        <v>2335</v>
      </c>
      <c r="S60" s="6" t="s">
        <v>3901</v>
      </c>
      <c r="T60" s="43" t="s">
        <v>2336</v>
      </c>
      <c r="U60" s="43" t="s">
        <v>89</v>
      </c>
      <c r="V60" t="s">
        <v>2337</v>
      </c>
      <c r="W60" s="57"/>
      <c r="X60" s="57"/>
      <c r="Y60" t="s">
        <v>99</v>
      </c>
      <c r="Z60" s="39"/>
      <c r="AA60" s="39"/>
      <c r="AB60" t="s">
        <v>76</v>
      </c>
      <c r="AC60" s="42">
        <v>38416</v>
      </c>
      <c r="AD60" s="42">
        <v>38860</v>
      </c>
      <c r="AE60" s="53" t="s">
        <v>51</v>
      </c>
      <c r="AF60" s="54" t="s">
        <v>35</v>
      </c>
      <c r="AG60" s="54"/>
      <c r="AH60" s="39" t="s">
        <v>52</v>
      </c>
      <c r="AI60" s="39" t="s">
        <v>52</v>
      </c>
    </row>
    <row r="61" spans="1:35" ht="17" x14ac:dyDescent="0.2">
      <c r="A61">
        <v>351</v>
      </c>
      <c r="B61">
        <v>440</v>
      </c>
      <c r="C61" t="s">
        <v>3692</v>
      </c>
      <c r="D61" s="39" t="s">
        <v>2590</v>
      </c>
      <c r="E61" s="39" t="s">
        <v>365</v>
      </c>
      <c r="F61" s="39" t="s">
        <v>35</v>
      </c>
      <c r="G61" s="39" t="s">
        <v>160</v>
      </c>
      <c r="I61" s="39" t="s">
        <v>2591</v>
      </c>
      <c r="J61" s="39" t="s">
        <v>35</v>
      </c>
      <c r="K61" t="s">
        <v>2592</v>
      </c>
      <c r="L61" t="s">
        <v>75</v>
      </c>
      <c r="M61" s="6" t="s">
        <v>5849</v>
      </c>
      <c r="N61" t="s">
        <v>59</v>
      </c>
      <c r="O61" t="s">
        <v>49</v>
      </c>
      <c r="P61" s="35" t="s">
        <v>50</v>
      </c>
      <c r="Q61" t="s">
        <v>76</v>
      </c>
      <c r="R61" t="s">
        <v>631</v>
      </c>
      <c r="S61" s="6" t="s">
        <v>3698</v>
      </c>
      <c r="T61" s="43" t="s">
        <v>409</v>
      </c>
      <c r="U61" s="43" t="s">
        <v>47</v>
      </c>
      <c r="V61" t="s">
        <v>49</v>
      </c>
      <c r="W61" s="57"/>
      <c r="X61" s="57"/>
      <c r="Y61" t="s">
        <v>50</v>
      </c>
      <c r="Z61" s="39"/>
      <c r="AA61" s="39"/>
      <c r="AB61" t="s">
        <v>62</v>
      </c>
      <c r="AC61" s="42">
        <v>40567</v>
      </c>
      <c r="AD61" s="42">
        <v>41799</v>
      </c>
      <c r="AE61" s="53" t="s">
        <v>239</v>
      </c>
      <c r="AF61" s="54" t="s">
        <v>35</v>
      </c>
      <c r="AG61" s="54"/>
      <c r="AH61" s="39" t="s">
        <v>70</v>
      </c>
      <c r="AI61" s="39" t="s">
        <v>52</v>
      </c>
    </row>
    <row r="62" spans="1:35" ht="17" x14ac:dyDescent="0.2">
      <c r="A62">
        <v>98</v>
      </c>
      <c r="B62">
        <v>503</v>
      </c>
      <c r="C62" t="s">
        <v>3695</v>
      </c>
      <c r="D62" s="39" t="s">
        <v>2872</v>
      </c>
      <c r="E62" s="39" t="s">
        <v>365</v>
      </c>
      <c r="F62" s="39" t="s">
        <v>35</v>
      </c>
      <c r="G62" s="39" t="s">
        <v>194</v>
      </c>
      <c r="I62" s="39" t="s">
        <v>2873</v>
      </c>
      <c r="J62" s="39" t="s">
        <v>35</v>
      </c>
      <c r="K62" t="s">
        <v>2874</v>
      </c>
      <c r="L62" t="s">
        <v>2875</v>
      </c>
      <c r="M62" s="6" t="s">
        <v>5869</v>
      </c>
      <c r="N62" t="s">
        <v>59</v>
      </c>
      <c r="O62" t="s">
        <v>42</v>
      </c>
      <c r="P62" s="35" t="s">
        <v>43</v>
      </c>
      <c r="Q62" t="s">
        <v>44</v>
      </c>
      <c r="R62" t="s">
        <v>2876</v>
      </c>
      <c r="S62" s="6" t="s">
        <v>3704</v>
      </c>
      <c r="T62" s="43" t="s">
        <v>48</v>
      </c>
      <c r="U62" s="43" t="s">
        <v>125</v>
      </c>
      <c r="V62" t="s">
        <v>42</v>
      </c>
      <c r="W62" s="57"/>
      <c r="X62" s="57"/>
      <c r="Y62" t="s">
        <v>43</v>
      </c>
      <c r="Z62" s="39"/>
      <c r="AA62" s="39"/>
      <c r="AB62" t="s">
        <v>44</v>
      </c>
      <c r="AC62" s="42">
        <v>34658</v>
      </c>
      <c r="AD62" s="42">
        <v>34974</v>
      </c>
      <c r="AE62" s="53" t="s">
        <v>116</v>
      </c>
      <c r="AF62" s="54" t="s">
        <v>35</v>
      </c>
      <c r="AG62" s="54"/>
      <c r="AH62" s="39" t="s">
        <v>70</v>
      </c>
      <c r="AI62" s="39" t="s">
        <v>52</v>
      </c>
    </row>
    <row r="63" spans="1:35" ht="17" x14ac:dyDescent="0.2">
      <c r="A63">
        <v>296</v>
      </c>
      <c r="B63">
        <v>522</v>
      </c>
      <c r="C63" t="s">
        <v>3700</v>
      </c>
      <c r="D63" s="39" t="s">
        <v>2964</v>
      </c>
      <c r="E63" s="39" t="s">
        <v>365</v>
      </c>
      <c r="F63" s="39" t="s">
        <v>35</v>
      </c>
      <c r="G63" s="39" t="s">
        <v>55</v>
      </c>
      <c r="I63" s="39" t="s">
        <v>2965</v>
      </c>
      <c r="J63" s="39" t="s">
        <v>2966</v>
      </c>
      <c r="K63" t="s">
        <v>2967</v>
      </c>
      <c r="L63" t="s">
        <v>2968</v>
      </c>
      <c r="M63" s="6" t="s">
        <v>3655</v>
      </c>
      <c r="N63" t="s">
        <v>59</v>
      </c>
      <c r="O63" t="s">
        <v>42</v>
      </c>
      <c r="P63" s="35" t="s">
        <v>43</v>
      </c>
      <c r="Q63" t="s">
        <v>132</v>
      </c>
      <c r="R63" t="s">
        <v>1498</v>
      </c>
      <c r="S63" s="6" t="s">
        <v>3710</v>
      </c>
      <c r="T63" s="43" t="s">
        <v>255</v>
      </c>
      <c r="U63" s="43" t="s">
        <v>445</v>
      </c>
      <c r="V63" t="s">
        <v>42</v>
      </c>
      <c r="W63" s="57"/>
      <c r="X63" s="57"/>
      <c r="Y63" t="s">
        <v>43</v>
      </c>
      <c r="Z63" s="39"/>
      <c r="AA63" s="39"/>
      <c r="AB63" t="s">
        <v>132</v>
      </c>
      <c r="AC63" s="42">
        <v>39098</v>
      </c>
      <c r="AD63" s="42">
        <v>39882</v>
      </c>
      <c r="AE63" s="53" t="s">
        <v>51</v>
      </c>
      <c r="AF63" s="54" t="s">
        <v>35</v>
      </c>
      <c r="AG63" s="54"/>
      <c r="AH63" s="39" t="s">
        <v>52</v>
      </c>
      <c r="AI63" s="39" t="s">
        <v>52</v>
      </c>
    </row>
    <row r="64" spans="1:35" ht="17" x14ac:dyDescent="0.2">
      <c r="A64">
        <v>408</v>
      </c>
      <c r="B64">
        <v>524</v>
      </c>
      <c r="C64" t="s">
        <v>3707</v>
      </c>
      <c r="D64" s="39" t="s">
        <v>2976</v>
      </c>
      <c r="E64" s="39" t="s">
        <v>365</v>
      </c>
      <c r="F64" s="39" t="s">
        <v>35</v>
      </c>
      <c r="G64" s="39" t="s">
        <v>36</v>
      </c>
      <c r="H64" s="34"/>
      <c r="I64" s="39" t="s">
        <v>2977</v>
      </c>
      <c r="J64" s="39" t="s">
        <v>35</v>
      </c>
      <c r="K64" t="s">
        <v>2978</v>
      </c>
      <c r="L64" t="s">
        <v>2979</v>
      </c>
      <c r="M64" s="6" t="s">
        <v>3704</v>
      </c>
      <c r="N64" t="s">
        <v>86</v>
      </c>
      <c r="O64" t="s">
        <v>49</v>
      </c>
      <c r="P64" s="35" t="s">
        <v>50</v>
      </c>
      <c r="Q64" t="s">
        <v>35</v>
      </c>
      <c r="R64" t="s">
        <v>2980</v>
      </c>
      <c r="S64" s="6" t="s">
        <v>4259</v>
      </c>
      <c r="T64" s="43" t="s">
        <v>246</v>
      </c>
      <c r="U64" s="43" t="s">
        <v>1436</v>
      </c>
      <c r="V64" t="s">
        <v>42</v>
      </c>
      <c r="W64" s="57"/>
      <c r="X64" s="57"/>
      <c r="Y64" t="s">
        <v>43</v>
      </c>
      <c r="Z64" s="39"/>
      <c r="AA64" s="39"/>
      <c r="AB64" t="s">
        <v>44</v>
      </c>
      <c r="AC64" s="42">
        <v>42380</v>
      </c>
      <c r="AD64" s="42">
        <v>43251</v>
      </c>
      <c r="AE64" s="53" t="s">
        <v>730</v>
      </c>
      <c r="AF64" s="54" t="s">
        <v>403</v>
      </c>
      <c r="AG64" s="54"/>
      <c r="AH64" s="39" t="s">
        <v>52</v>
      </c>
      <c r="AI64" s="39" t="s">
        <v>70</v>
      </c>
    </row>
    <row r="65" spans="1:35" ht="17" x14ac:dyDescent="0.2">
      <c r="A65">
        <v>392</v>
      </c>
      <c r="B65">
        <v>533</v>
      </c>
      <c r="C65" t="s">
        <v>3713</v>
      </c>
      <c r="D65" s="39" t="s">
        <v>3028</v>
      </c>
      <c r="E65" s="39" t="s">
        <v>365</v>
      </c>
      <c r="F65" s="39" t="s">
        <v>35</v>
      </c>
      <c r="G65" s="39" t="s">
        <v>160</v>
      </c>
      <c r="H65" s="34"/>
      <c r="I65" s="39" t="s">
        <v>3029</v>
      </c>
      <c r="J65" s="39" t="s">
        <v>35</v>
      </c>
      <c r="K65" t="s">
        <v>3030</v>
      </c>
      <c r="L65" t="s">
        <v>3031</v>
      </c>
      <c r="M65" s="6" t="s">
        <v>5870</v>
      </c>
      <c r="N65" t="s">
        <v>86</v>
      </c>
      <c r="O65" t="s">
        <v>42</v>
      </c>
      <c r="P65" s="35" t="s">
        <v>43</v>
      </c>
      <c r="Q65" t="s">
        <v>44</v>
      </c>
      <c r="R65" t="s">
        <v>3031</v>
      </c>
      <c r="S65" s="6" t="s">
        <v>3722</v>
      </c>
      <c r="T65" s="43" t="s">
        <v>47</v>
      </c>
      <c r="U65" s="43" t="s">
        <v>1139</v>
      </c>
      <c r="V65" t="s">
        <v>42</v>
      </c>
      <c r="W65" s="57"/>
      <c r="X65" s="57"/>
      <c r="Y65" t="s">
        <v>43</v>
      </c>
      <c r="Z65" s="39"/>
      <c r="AA65" s="39"/>
      <c r="AB65" t="s">
        <v>44</v>
      </c>
      <c r="AC65" s="42">
        <v>42023</v>
      </c>
      <c r="AD65" s="42">
        <v>42982</v>
      </c>
      <c r="AE65" s="53" t="s">
        <v>425</v>
      </c>
      <c r="AF65" s="54" t="s">
        <v>35</v>
      </c>
      <c r="AG65" s="54"/>
      <c r="AH65" s="39" t="s">
        <v>52</v>
      </c>
      <c r="AI65" s="39" t="s">
        <v>70</v>
      </c>
    </row>
    <row r="66" spans="1:35" ht="17" x14ac:dyDescent="0.2">
      <c r="A66">
        <v>258</v>
      </c>
      <c r="B66">
        <v>563</v>
      </c>
      <c r="C66" t="s">
        <v>3718</v>
      </c>
      <c r="D66" s="39" t="s">
        <v>3177</v>
      </c>
      <c r="E66" s="39" t="s">
        <v>365</v>
      </c>
      <c r="F66" s="39" t="s">
        <v>35</v>
      </c>
      <c r="G66" s="39" t="s">
        <v>55</v>
      </c>
      <c r="I66" s="39" t="s">
        <v>3178</v>
      </c>
      <c r="J66" s="39" t="s">
        <v>35</v>
      </c>
      <c r="K66" t="s">
        <v>3179</v>
      </c>
      <c r="L66" t="s">
        <v>75</v>
      </c>
      <c r="M66" s="6" t="s">
        <v>5871</v>
      </c>
      <c r="N66" t="s">
        <v>59</v>
      </c>
      <c r="O66" t="s">
        <v>49</v>
      </c>
      <c r="P66" s="35" t="s">
        <v>50</v>
      </c>
      <c r="Q66" t="s">
        <v>76</v>
      </c>
      <c r="R66" t="s">
        <v>3180</v>
      </c>
      <c r="S66" s="6" t="s">
        <v>6136</v>
      </c>
      <c r="T66" s="43" t="s">
        <v>3181</v>
      </c>
      <c r="U66" s="43" t="s">
        <v>387</v>
      </c>
      <c r="V66" t="s">
        <v>42</v>
      </c>
      <c r="W66" s="57"/>
      <c r="X66" s="57"/>
      <c r="Y66" t="s">
        <v>43</v>
      </c>
      <c r="Z66" s="39"/>
      <c r="AA66" s="39"/>
      <c r="AB66" t="s">
        <v>87</v>
      </c>
      <c r="AC66" s="42">
        <v>38356</v>
      </c>
      <c r="AE66" s="53" t="s">
        <v>453</v>
      </c>
      <c r="AF66" s="54" t="s">
        <v>35</v>
      </c>
      <c r="AG66" s="54"/>
      <c r="AH66" s="39" t="s">
        <v>70</v>
      </c>
      <c r="AI66" s="39" t="s">
        <v>52</v>
      </c>
    </row>
    <row r="67" spans="1:35" ht="17" x14ac:dyDescent="0.2">
      <c r="A67">
        <v>593</v>
      </c>
      <c r="B67">
        <v>582</v>
      </c>
      <c r="C67" t="s">
        <v>5838</v>
      </c>
      <c r="D67" s="39" t="s">
        <v>3258</v>
      </c>
      <c r="E67" s="39" t="s">
        <v>365</v>
      </c>
      <c r="F67" s="39" t="s">
        <v>35</v>
      </c>
      <c r="G67" s="39" t="s">
        <v>259</v>
      </c>
      <c r="H67" s="41"/>
      <c r="I67" s="39" t="s">
        <v>3259</v>
      </c>
      <c r="J67" s="39" t="s">
        <v>35</v>
      </c>
      <c r="K67" t="s">
        <v>3260</v>
      </c>
      <c r="L67" t="s">
        <v>3261</v>
      </c>
      <c r="M67" s="6" t="s">
        <v>35</v>
      </c>
      <c r="N67" s="41" t="s">
        <v>131</v>
      </c>
      <c r="O67" t="s">
        <v>123</v>
      </c>
      <c r="P67" s="35" t="s">
        <v>99</v>
      </c>
      <c r="Q67" t="s">
        <v>62</v>
      </c>
      <c r="R67" t="s">
        <v>1705</v>
      </c>
      <c r="S67" s="6" t="s">
        <v>35</v>
      </c>
      <c r="T67" s="43" t="s">
        <v>459</v>
      </c>
      <c r="U67" s="43" t="s">
        <v>459</v>
      </c>
      <c r="V67" t="s">
        <v>3262</v>
      </c>
      <c r="W67" s="57"/>
      <c r="X67" s="57"/>
      <c r="Y67" t="s">
        <v>99</v>
      </c>
      <c r="Z67" s="39"/>
      <c r="AA67" s="39"/>
      <c r="AB67" t="s">
        <v>980</v>
      </c>
      <c r="AC67" s="44"/>
      <c r="AD67" s="44"/>
      <c r="AE67" s="53" t="s">
        <v>51</v>
      </c>
      <c r="AF67" s="54" t="s">
        <v>35</v>
      </c>
      <c r="AG67" s="54"/>
      <c r="AH67" s="39" t="s">
        <v>52</v>
      </c>
      <c r="AI67" s="39" t="s">
        <v>52</v>
      </c>
    </row>
    <row r="68" spans="1:35" ht="17" x14ac:dyDescent="0.2">
      <c r="A68">
        <v>201</v>
      </c>
      <c r="B68">
        <v>328</v>
      </c>
      <c r="C68" t="s">
        <v>3723</v>
      </c>
      <c r="D68" s="39" t="s">
        <v>2043</v>
      </c>
      <c r="E68" s="39" t="s">
        <v>2044</v>
      </c>
      <c r="F68" s="39" t="s">
        <v>35</v>
      </c>
      <c r="G68" s="39" t="s">
        <v>82</v>
      </c>
      <c r="I68" s="39" t="s">
        <v>35</v>
      </c>
      <c r="J68" s="39" t="s">
        <v>35</v>
      </c>
      <c r="K68" t="s">
        <v>35</v>
      </c>
      <c r="L68" t="s">
        <v>35</v>
      </c>
      <c r="M68" s="6" t="s">
        <v>3731</v>
      </c>
      <c r="P68" s="35"/>
      <c r="Q68" t="s">
        <v>35</v>
      </c>
      <c r="S68" s="6" t="s">
        <v>3733</v>
      </c>
      <c r="T68" s="43" t="s">
        <v>35</v>
      </c>
      <c r="U68" s="43" t="s">
        <v>35</v>
      </c>
      <c r="W68" s="57"/>
      <c r="X68" s="57"/>
      <c r="AB68" t="s">
        <v>35</v>
      </c>
      <c r="AC68" s="42">
        <v>37278</v>
      </c>
      <c r="AD68" s="42">
        <v>38007</v>
      </c>
      <c r="AE68" s="53" t="s">
        <v>116</v>
      </c>
      <c r="AF68" s="54" t="s">
        <v>35</v>
      </c>
      <c r="AG68" s="54"/>
      <c r="AH68" s="39" t="s">
        <v>70</v>
      </c>
      <c r="AI68" s="39" t="s">
        <v>52</v>
      </c>
    </row>
    <row r="69" spans="1:35" ht="17" x14ac:dyDescent="0.2">
      <c r="A69" t="s">
        <v>35</v>
      </c>
      <c r="B69">
        <v>240</v>
      </c>
      <c r="C69" t="s">
        <v>3724</v>
      </c>
      <c r="D69" s="39" t="s">
        <v>1600</v>
      </c>
      <c r="E69" s="39" t="s">
        <v>1601</v>
      </c>
      <c r="F69" s="39" t="s">
        <v>35</v>
      </c>
      <c r="G69" s="39" t="s">
        <v>194</v>
      </c>
      <c r="I69" s="39" t="s">
        <v>1602</v>
      </c>
      <c r="J69" s="39" t="s">
        <v>35</v>
      </c>
      <c r="K69" t="s">
        <v>1603</v>
      </c>
      <c r="L69" t="s">
        <v>188</v>
      </c>
      <c r="M69" s="6" t="s">
        <v>3737</v>
      </c>
      <c r="N69" t="s">
        <v>59</v>
      </c>
      <c r="O69" t="s">
        <v>123</v>
      </c>
      <c r="P69" s="35" t="s">
        <v>99</v>
      </c>
      <c r="Q69" t="s">
        <v>44</v>
      </c>
      <c r="R69" t="s">
        <v>816</v>
      </c>
      <c r="S69" s="6" t="s">
        <v>35</v>
      </c>
      <c r="T69" s="43" t="s">
        <v>1604</v>
      </c>
      <c r="U69" s="43" t="s">
        <v>729</v>
      </c>
      <c r="V69" t="s">
        <v>123</v>
      </c>
      <c r="W69" s="57" t="s">
        <v>42</v>
      </c>
      <c r="X69" s="57"/>
      <c r="Y69" t="s">
        <v>99</v>
      </c>
      <c r="Z69" s="39" t="s">
        <v>43</v>
      </c>
      <c r="AA69" s="39"/>
      <c r="AB69" t="s">
        <v>44</v>
      </c>
      <c r="AC69" s="42">
        <v>33769</v>
      </c>
      <c r="AD69" s="42" t="s">
        <v>35</v>
      </c>
      <c r="AE69" s="53" t="s">
        <v>51</v>
      </c>
      <c r="AF69" s="54" t="s">
        <v>35</v>
      </c>
      <c r="AG69" s="54"/>
      <c r="AH69" s="39" t="s">
        <v>52</v>
      </c>
      <c r="AI69" s="39" t="s">
        <v>52</v>
      </c>
    </row>
    <row r="70" spans="1:35" ht="17" x14ac:dyDescent="0.2">
      <c r="A70">
        <v>67</v>
      </c>
      <c r="B70">
        <v>454</v>
      </c>
      <c r="C70" t="s">
        <v>3728</v>
      </c>
      <c r="D70" s="39" t="s">
        <v>2642</v>
      </c>
      <c r="E70" s="39" t="s">
        <v>2530</v>
      </c>
      <c r="F70" s="39" t="s">
        <v>35</v>
      </c>
      <c r="G70" s="39" t="s">
        <v>194</v>
      </c>
      <c r="I70" s="39" t="s">
        <v>2643</v>
      </c>
      <c r="J70" s="39" t="s">
        <v>2644</v>
      </c>
      <c r="K70" t="s">
        <v>2645</v>
      </c>
      <c r="L70" t="s">
        <v>2646</v>
      </c>
      <c r="M70" s="6" t="s">
        <v>35</v>
      </c>
      <c r="N70" t="s">
        <v>59</v>
      </c>
      <c r="O70" t="s">
        <v>1884</v>
      </c>
      <c r="P70" s="35" t="s">
        <v>50</v>
      </c>
      <c r="Q70" t="s">
        <v>87</v>
      </c>
      <c r="R70" t="s">
        <v>2647</v>
      </c>
      <c r="S70" s="6" t="s">
        <v>35</v>
      </c>
      <c r="T70" s="43" t="s">
        <v>2648</v>
      </c>
      <c r="U70" s="43" t="s">
        <v>1644</v>
      </c>
      <c r="V70" t="s">
        <v>49</v>
      </c>
      <c r="W70" s="57"/>
      <c r="X70" s="57"/>
      <c r="Y70" t="s">
        <v>50</v>
      </c>
      <c r="Z70" s="39"/>
      <c r="AA70" s="39"/>
      <c r="AB70" t="s">
        <v>87</v>
      </c>
      <c r="AC70" s="42">
        <v>33419</v>
      </c>
      <c r="AD70" s="42">
        <v>34233</v>
      </c>
      <c r="AE70" s="53" t="s">
        <v>51</v>
      </c>
      <c r="AF70" s="54" t="s">
        <v>35</v>
      </c>
      <c r="AG70" s="54"/>
      <c r="AH70" s="39" t="s">
        <v>52</v>
      </c>
      <c r="AI70" s="39" t="s">
        <v>52</v>
      </c>
    </row>
    <row r="71" spans="1:35" ht="17" x14ac:dyDescent="0.2">
      <c r="A71">
        <v>321</v>
      </c>
      <c r="B71">
        <v>545</v>
      </c>
      <c r="C71" t="s">
        <v>3734</v>
      </c>
      <c r="D71" s="39" t="s">
        <v>3086</v>
      </c>
      <c r="E71" s="39" t="s">
        <v>2530</v>
      </c>
      <c r="F71" s="39" t="s">
        <v>35</v>
      </c>
      <c r="G71" s="39" t="s">
        <v>35</v>
      </c>
      <c r="H71" s="40"/>
      <c r="I71" s="39" t="s">
        <v>3087</v>
      </c>
      <c r="J71" s="39" t="s">
        <v>3088</v>
      </c>
      <c r="K71" t="s">
        <v>3089</v>
      </c>
      <c r="L71" t="s">
        <v>3090</v>
      </c>
      <c r="M71" s="6" t="s">
        <v>5872</v>
      </c>
      <c r="O71" t="s">
        <v>2901</v>
      </c>
      <c r="P71" s="35"/>
      <c r="Q71" t="s">
        <v>100</v>
      </c>
      <c r="S71" s="6" t="s">
        <v>2364</v>
      </c>
      <c r="T71" s="43" t="s">
        <v>35</v>
      </c>
      <c r="U71" s="43" t="s">
        <v>35</v>
      </c>
      <c r="W71" s="57"/>
      <c r="X71" s="57"/>
      <c r="Z71" s="39"/>
      <c r="AA71" s="39"/>
      <c r="AB71" t="s">
        <v>35</v>
      </c>
      <c r="AC71" s="42">
        <v>39508</v>
      </c>
      <c r="AD71" s="42">
        <v>40452</v>
      </c>
      <c r="AE71" s="53" t="s">
        <v>51</v>
      </c>
      <c r="AF71" s="54" t="s">
        <v>35</v>
      </c>
      <c r="AG71" s="54"/>
      <c r="AH71" s="39" t="s">
        <v>52</v>
      </c>
      <c r="AI71" s="39" t="s">
        <v>52</v>
      </c>
    </row>
    <row r="72" spans="1:35" ht="17" x14ac:dyDescent="0.2">
      <c r="A72">
        <v>287</v>
      </c>
      <c r="B72">
        <v>580</v>
      </c>
      <c r="C72" t="s">
        <v>3741</v>
      </c>
      <c r="D72" s="39" t="s">
        <v>3250</v>
      </c>
      <c r="E72" s="39" t="s">
        <v>3251</v>
      </c>
      <c r="F72" s="39" t="s">
        <v>35</v>
      </c>
      <c r="G72" s="39" t="s">
        <v>55</v>
      </c>
      <c r="H72" s="34"/>
      <c r="I72" s="39" t="s">
        <v>3252</v>
      </c>
      <c r="J72" s="39" t="s">
        <v>35</v>
      </c>
      <c r="K72" t="s">
        <v>35</v>
      </c>
      <c r="M72" s="6" t="s">
        <v>5873</v>
      </c>
      <c r="P72" s="35"/>
      <c r="Q72" t="s">
        <v>35</v>
      </c>
      <c r="S72" s="6" t="s">
        <v>3750</v>
      </c>
      <c r="T72" s="43" t="s">
        <v>35</v>
      </c>
      <c r="U72" s="43" t="s">
        <v>35</v>
      </c>
      <c r="W72" s="57"/>
      <c r="X72" s="57"/>
      <c r="Z72" s="39"/>
      <c r="AA72" s="39"/>
      <c r="AB72" t="s">
        <v>35</v>
      </c>
      <c r="AC72" s="42">
        <v>38860</v>
      </c>
      <c r="AD72" s="42">
        <v>39406</v>
      </c>
      <c r="AE72" s="53" t="s">
        <v>51</v>
      </c>
      <c r="AF72" s="54" t="s">
        <v>35</v>
      </c>
      <c r="AG72" s="54"/>
      <c r="AH72" s="39" t="s">
        <v>52</v>
      </c>
      <c r="AI72" s="39" t="s">
        <v>52</v>
      </c>
    </row>
    <row r="73" spans="1:35" ht="17" x14ac:dyDescent="0.2">
      <c r="A73">
        <v>240</v>
      </c>
      <c r="B73">
        <v>13</v>
      </c>
      <c r="C73" t="s">
        <v>3743</v>
      </c>
      <c r="D73" s="39" t="s">
        <v>175</v>
      </c>
      <c r="E73" s="39" t="s">
        <v>176</v>
      </c>
      <c r="F73" s="39" t="s">
        <v>35</v>
      </c>
      <c r="G73" s="39" t="s">
        <v>82</v>
      </c>
      <c r="I73" s="39" t="s">
        <v>177</v>
      </c>
      <c r="J73" s="39" t="s">
        <v>35</v>
      </c>
      <c r="K73" t="s">
        <v>178</v>
      </c>
      <c r="L73" t="s">
        <v>179</v>
      </c>
      <c r="M73" s="6" t="s">
        <v>35</v>
      </c>
      <c r="N73" t="s">
        <v>131</v>
      </c>
      <c r="P73" s="35"/>
      <c r="Q73" t="s">
        <v>180</v>
      </c>
      <c r="R73" t="s">
        <v>181</v>
      </c>
      <c r="S73" s="6" t="s">
        <v>35</v>
      </c>
      <c r="T73" s="43" t="s">
        <v>182</v>
      </c>
      <c r="U73" s="43" t="s">
        <v>35</v>
      </c>
      <c r="V73" t="s">
        <v>42</v>
      </c>
      <c r="W73" s="57"/>
      <c r="X73" s="57"/>
      <c r="Y73" t="s">
        <v>43</v>
      </c>
      <c r="Z73" s="39"/>
      <c r="AA73" s="39"/>
      <c r="AB73" t="s">
        <v>180</v>
      </c>
      <c r="AC73" s="42">
        <v>38007</v>
      </c>
      <c r="AD73" s="42">
        <v>39469</v>
      </c>
      <c r="AE73" s="53" t="s">
        <v>51</v>
      </c>
      <c r="AF73" s="54" t="s">
        <v>35</v>
      </c>
      <c r="AG73" s="54"/>
      <c r="AH73" s="39" t="s">
        <v>52</v>
      </c>
      <c r="AI73" s="39" t="s">
        <v>52</v>
      </c>
    </row>
    <row r="74" spans="1:35" ht="17" x14ac:dyDescent="0.2">
      <c r="A74">
        <v>347</v>
      </c>
      <c r="B74">
        <v>48</v>
      </c>
      <c r="C74" t="s">
        <v>3748</v>
      </c>
      <c r="D74" s="39" t="s">
        <v>439</v>
      </c>
      <c r="E74" s="39" t="s">
        <v>176</v>
      </c>
      <c r="F74" s="39" t="s">
        <v>35</v>
      </c>
      <c r="G74" s="39" t="s">
        <v>160</v>
      </c>
      <c r="I74" s="39" t="s">
        <v>440</v>
      </c>
      <c r="J74" s="39" t="s">
        <v>35</v>
      </c>
      <c r="K74" t="s">
        <v>441</v>
      </c>
      <c r="L74" t="s">
        <v>442</v>
      </c>
      <c r="M74" s="6" t="s">
        <v>5874</v>
      </c>
      <c r="N74" t="s">
        <v>97</v>
      </c>
      <c r="O74" t="s">
        <v>252</v>
      </c>
      <c r="P74" s="35" t="s">
        <v>50</v>
      </c>
      <c r="Q74" t="s">
        <v>62</v>
      </c>
      <c r="R74" t="s">
        <v>443</v>
      </c>
      <c r="S74" s="6" t="s">
        <v>3761</v>
      </c>
      <c r="T74" s="43" t="s">
        <v>444</v>
      </c>
      <c r="U74" s="43" t="s">
        <v>445</v>
      </c>
      <c r="V74" t="s">
        <v>446</v>
      </c>
      <c r="W74" s="57"/>
      <c r="X74" s="57"/>
      <c r="Y74" t="s">
        <v>99</v>
      </c>
      <c r="Z74" s="39"/>
      <c r="AA74" s="39"/>
      <c r="AB74" t="s">
        <v>62</v>
      </c>
      <c r="AC74" s="42">
        <v>40567</v>
      </c>
      <c r="AD74" s="42">
        <v>41157</v>
      </c>
      <c r="AE74" s="53" t="s">
        <v>51</v>
      </c>
      <c r="AF74" s="54" t="s">
        <v>35</v>
      </c>
      <c r="AG74" s="54"/>
      <c r="AH74" s="39" t="s">
        <v>52</v>
      </c>
      <c r="AI74" s="39" t="s">
        <v>52</v>
      </c>
    </row>
    <row r="75" spans="1:35" ht="17" x14ac:dyDescent="0.2">
      <c r="A75">
        <v>445</v>
      </c>
      <c r="B75">
        <v>338</v>
      </c>
      <c r="C75" t="s">
        <v>3756</v>
      </c>
      <c r="D75" s="39" t="s">
        <v>2090</v>
      </c>
      <c r="E75" s="39" t="s">
        <v>176</v>
      </c>
      <c r="F75" s="39" t="s">
        <v>35</v>
      </c>
      <c r="G75" s="39" t="s">
        <v>36</v>
      </c>
      <c r="I75" s="39" t="s">
        <v>35</v>
      </c>
      <c r="J75" s="39" t="s">
        <v>35</v>
      </c>
      <c r="K75" t="s">
        <v>2091</v>
      </c>
      <c r="L75" t="s">
        <v>2092</v>
      </c>
      <c r="M75" s="6" t="s">
        <v>3501</v>
      </c>
      <c r="N75" s="36" t="s">
        <v>86</v>
      </c>
      <c r="O75" t="s">
        <v>42</v>
      </c>
      <c r="P75" s="35" t="s">
        <v>43</v>
      </c>
      <c r="Q75" t="s">
        <v>44</v>
      </c>
      <c r="R75" t="s">
        <v>355</v>
      </c>
      <c r="S75" s="6" t="s">
        <v>3555</v>
      </c>
      <c r="T75" s="43" t="s">
        <v>232</v>
      </c>
      <c r="U75" s="43" t="s">
        <v>410</v>
      </c>
      <c r="V75" t="s">
        <v>42</v>
      </c>
      <c r="W75" s="57"/>
      <c r="X75" s="57"/>
      <c r="Y75" t="s">
        <v>43</v>
      </c>
      <c r="Z75" s="39"/>
      <c r="AA75" s="39"/>
      <c r="AB75" t="s">
        <v>44</v>
      </c>
      <c r="AC75" s="42">
        <v>42886</v>
      </c>
      <c r="AE75" s="53" t="s">
        <v>51</v>
      </c>
      <c r="AF75" s="54" t="s">
        <v>35</v>
      </c>
      <c r="AG75" s="54"/>
      <c r="AH75" s="39" t="s">
        <v>52</v>
      </c>
      <c r="AI75" s="39" t="s">
        <v>52</v>
      </c>
    </row>
    <row r="76" spans="1:35" ht="17" x14ac:dyDescent="0.2">
      <c r="A76" t="s">
        <v>35</v>
      </c>
      <c r="B76">
        <v>499</v>
      </c>
      <c r="C76" t="s">
        <v>5823</v>
      </c>
      <c r="D76" s="39" t="s">
        <v>2849</v>
      </c>
      <c r="E76" s="39" t="s">
        <v>176</v>
      </c>
      <c r="F76" s="39" t="s">
        <v>1715</v>
      </c>
      <c r="G76" s="39" t="s">
        <v>160</v>
      </c>
      <c r="I76" s="39" t="s">
        <v>2850</v>
      </c>
      <c r="J76" s="39" t="s">
        <v>2851</v>
      </c>
      <c r="K76" t="s">
        <v>2852</v>
      </c>
      <c r="L76" t="s">
        <v>2853</v>
      </c>
      <c r="M76" s="6" t="s">
        <v>5875</v>
      </c>
      <c r="N76" t="s">
        <v>41</v>
      </c>
      <c r="O76" t="s">
        <v>42</v>
      </c>
      <c r="P76" s="35" t="s">
        <v>43</v>
      </c>
      <c r="Q76" t="s">
        <v>44</v>
      </c>
      <c r="R76" t="s">
        <v>2854</v>
      </c>
      <c r="S76" s="6" t="s">
        <v>64</v>
      </c>
      <c r="T76" s="43" t="s">
        <v>238</v>
      </c>
      <c r="U76" s="43" t="s">
        <v>246</v>
      </c>
      <c r="V76" t="s">
        <v>42</v>
      </c>
      <c r="W76" s="57"/>
      <c r="X76" s="57"/>
      <c r="Y76" t="s">
        <v>43</v>
      </c>
      <c r="Z76" s="39"/>
      <c r="AA76" s="39"/>
      <c r="AB76" t="s">
        <v>62</v>
      </c>
      <c r="AC76" s="42">
        <v>41799</v>
      </c>
      <c r="AD76" s="42">
        <v>42534</v>
      </c>
      <c r="AE76" s="53" t="s">
        <v>68</v>
      </c>
      <c r="AF76" s="54" t="s">
        <v>35</v>
      </c>
      <c r="AG76" s="54"/>
      <c r="AH76" s="39" t="s">
        <v>70</v>
      </c>
      <c r="AI76" s="39" t="s">
        <v>52</v>
      </c>
    </row>
    <row r="77" spans="1:35" ht="17" x14ac:dyDescent="0.2">
      <c r="A77" t="s">
        <v>35</v>
      </c>
      <c r="B77">
        <v>536</v>
      </c>
      <c r="C77" t="s">
        <v>5825</v>
      </c>
      <c r="D77" s="39" t="s">
        <v>3043</v>
      </c>
      <c r="E77" s="39" t="s">
        <v>176</v>
      </c>
      <c r="F77" s="39" t="s">
        <v>1255</v>
      </c>
      <c r="G77" s="39" t="s">
        <v>36</v>
      </c>
      <c r="H77" s="34"/>
      <c r="I77" s="39" t="s">
        <v>35</v>
      </c>
      <c r="J77" s="39" t="s">
        <v>35</v>
      </c>
      <c r="K77" t="s">
        <v>35</v>
      </c>
      <c r="M77" s="6" t="s">
        <v>35</v>
      </c>
      <c r="P77" s="35"/>
      <c r="Q77" t="s">
        <v>35</v>
      </c>
      <c r="S77" s="6" t="s">
        <v>35</v>
      </c>
      <c r="T77" s="43" t="s">
        <v>35</v>
      </c>
      <c r="U77" s="43" t="s">
        <v>35</v>
      </c>
      <c r="W77" s="57"/>
      <c r="X77" s="57"/>
      <c r="Z77" s="39"/>
      <c r="AA77" s="39"/>
      <c r="AB77" t="s">
        <v>35</v>
      </c>
      <c r="AC77" s="42">
        <v>42380</v>
      </c>
      <c r="AE77" s="53" t="s">
        <v>51</v>
      </c>
      <c r="AF77" s="54" t="s">
        <v>35</v>
      </c>
      <c r="AG77" s="54"/>
      <c r="AH77" s="39" t="s">
        <v>52</v>
      </c>
      <c r="AI77" s="39" t="s">
        <v>52</v>
      </c>
    </row>
    <row r="78" spans="1:35" ht="17" x14ac:dyDescent="0.2">
      <c r="B78">
        <v>558</v>
      </c>
      <c r="C78" t="s">
        <v>5834</v>
      </c>
      <c r="D78" s="39" t="s">
        <v>3154</v>
      </c>
      <c r="E78" s="39" t="s">
        <v>176</v>
      </c>
      <c r="F78" s="39" t="s">
        <v>35</v>
      </c>
      <c r="G78" s="39" t="s">
        <v>36</v>
      </c>
      <c r="I78" s="39" t="s">
        <v>3155</v>
      </c>
      <c r="J78" s="39" t="s">
        <v>35</v>
      </c>
      <c r="K78" t="s">
        <v>3156</v>
      </c>
      <c r="L78" t="s">
        <v>369</v>
      </c>
      <c r="M78" s="6" t="s">
        <v>35</v>
      </c>
      <c r="N78" t="s">
        <v>131</v>
      </c>
      <c r="O78" t="s">
        <v>49</v>
      </c>
      <c r="P78" s="35" t="s">
        <v>50</v>
      </c>
      <c r="Q78" t="s">
        <v>62</v>
      </c>
      <c r="R78" t="s">
        <v>245</v>
      </c>
      <c r="S78" s="6" t="s">
        <v>35</v>
      </c>
      <c r="T78" s="43" t="s">
        <v>246</v>
      </c>
      <c r="U78" s="43" t="s">
        <v>246</v>
      </c>
      <c r="V78" t="s">
        <v>49</v>
      </c>
      <c r="W78" s="57"/>
      <c r="X78" s="57"/>
      <c r="Y78" t="s">
        <v>50</v>
      </c>
      <c r="Z78" s="39"/>
      <c r="AA78" s="39"/>
      <c r="AB78" t="s">
        <v>44</v>
      </c>
      <c r="AC78" s="42">
        <v>44571</v>
      </c>
      <c r="AD78" s="42">
        <v>45666</v>
      </c>
      <c r="AE78" s="53" t="s">
        <v>453</v>
      </c>
      <c r="AF78" s="54" t="s">
        <v>35</v>
      </c>
      <c r="AG78" s="54"/>
      <c r="AH78" s="39" t="s">
        <v>70</v>
      </c>
      <c r="AI78" s="39" t="s">
        <v>70</v>
      </c>
    </row>
    <row r="79" spans="1:35" ht="17" x14ac:dyDescent="0.2">
      <c r="A79">
        <v>33</v>
      </c>
      <c r="B79">
        <v>277</v>
      </c>
      <c r="C79" t="s">
        <v>3765</v>
      </c>
      <c r="D79" s="39" t="s">
        <v>1769</v>
      </c>
      <c r="E79" s="39" t="s">
        <v>1770</v>
      </c>
      <c r="F79" s="39" t="s">
        <v>35</v>
      </c>
      <c r="G79" s="39" t="s">
        <v>194</v>
      </c>
      <c r="I79" s="39" t="s">
        <v>35</v>
      </c>
      <c r="J79" s="39" t="s">
        <v>35</v>
      </c>
      <c r="L79" t="s">
        <v>35</v>
      </c>
      <c r="M79" s="6" t="s">
        <v>3772</v>
      </c>
      <c r="P79" s="35"/>
      <c r="Q79" t="s">
        <v>35</v>
      </c>
      <c r="S79" s="6" t="s">
        <v>3773</v>
      </c>
      <c r="T79" s="43" t="s">
        <v>35</v>
      </c>
      <c r="U79" s="43" t="s">
        <v>35</v>
      </c>
      <c r="W79" s="57"/>
      <c r="X79" s="57"/>
      <c r="Z79" s="39"/>
      <c r="AA79" s="39"/>
      <c r="AB79" t="s">
        <v>35</v>
      </c>
      <c r="AC79" s="42">
        <v>33240</v>
      </c>
      <c r="AD79" s="42">
        <v>34233</v>
      </c>
      <c r="AE79" s="53" t="s">
        <v>51</v>
      </c>
      <c r="AF79" s="54" t="s">
        <v>35</v>
      </c>
      <c r="AG79" s="54"/>
      <c r="AH79" s="39" t="s">
        <v>52</v>
      </c>
      <c r="AI79" s="39" t="s">
        <v>52</v>
      </c>
    </row>
    <row r="80" spans="1:35" ht="17" x14ac:dyDescent="0.2">
      <c r="A80">
        <v>191</v>
      </c>
      <c r="B80">
        <v>375</v>
      </c>
      <c r="C80" t="s">
        <v>3767</v>
      </c>
      <c r="D80" s="39" t="s">
        <v>2279</v>
      </c>
      <c r="E80" s="39" t="s">
        <v>2280</v>
      </c>
      <c r="F80" s="39" t="s">
        <v>35</v>
      </c>
      <c r="G80" s="39" t="s">
        <v>82</v>
      </c>
      <c r="H80" s="34"/>
      <c r="I80" s="39" t="s">
        <v>35</v>
      </c>
      <c r="J80" s="39" t="s">
        <v>35</v>
      </c>
      <c r="L80" t="s">
        <v>35</v>
      </c>
      <c r="M80" s="6" t="s">
        <v>3776</v>
      </c>
      <c r="P80" s="35"/>
      <c r="Q80" t="s">
        <v>35</v>
      </c>
      <c r="S80" s="6" t="s">
        <v>6137</v>
      </c>
      <c r="T80" s="43" t="s">
        <v>35</v>
      </c>
      <c r="U80" s="43" t="s">
        <v>35</v>
      </c>
      <c r="W80" s="57"/>
      <c r="X80" s="57"/>
      <c r="Z80" s="39"/>
      <c r="AA80" s="39"/>
      <c r="AB80" t="s">
        <v>35</v>
      </c>
      <c r="AC80" s="42">
        <v>37013</v>
      </c>
      <c r="AD80" s="42">
        <v>37649</v>
      </c>
      <c r="AE80" s="53" t="s">
        <v>51</v>
      </c>
      <c r="AF80" s="54" t="s">
        <v>35</v>
      </c>
      <c r="AG80" s="54"/>
      <c r="AH80" s="39" t="s">
        <v>52</v>
      </c>
      <c r="AI80" s="39" t="s">
        <v>52</v>
      </c>
    </row>
    <row r="81" spans="1:35" ht="34" x14ac:dyDescent="0.2">
      <c r="A81">
        <v>273</v>
      </c>
      <c r="B81">
        <v>416</v>
      </c>
      <c r="C81" t="s">
        <v>3768</v>
      </c>
      <c r="D81" s="39" t="s">
        <v>2479</v>
      </c>
      <c r="E81" s="39" t="s">
        <v>2480</v>
      </c>
      <c r="F81" s="39" t="s">
        <v>35</v>
      </c>
      <c r="G81" s="39" t="s">
        <v>82</v>
      </c>
      <c r="I81" s="39" t="s">
        <v>2481</v>
      </c>
      <c r="J81" s="39" t="s">
        <v>35</v>
      </c>
      <c r="K81" t="s">
        <v>2482</v>
      </c>
      <c r="L81" t="s">
        <v>573</v>
      </c>
      <c r="M81" s="6" t="s">
        <v>5876</v>
      </c>
      <c r="N81" t="s">
        <v>59</v>
      </c>
      <c r="O81" t="s">
        <v>1560</v>
      </c>
      <c r="P81" s="35"/>
      <c r="Q81" t="s">
        <v>62</v>
      </c>
      <c r="R81" t="s">
        <v>2483</v>
      </c>
      <c r="S81" s="6" t="s">
        <v>3780</v>
      </c>
      <c r="T81" s="43" t="s">
        <v>165</v>
      </c>
      <c r="U81" s="43" t="s">
        <v>2484</v>
      </c>
      <c r="W81" s="57"/>
      <c r="X81" s="57"/>
      <c r="Z81" s="39"/>
      <c r="AA81" s="39"/>
      <c r="AB81" t="s">
        <v>35</v>
      </c>
      <c r="AC81" s="42">
        <v>38732</v>
      </c>
      <c r="AD81" s="42">
        <v>39083</v>
      </c>
      <c r="AE81" s="53" t="s">
        <v>51</v>
      </c>
      <c r="AF81" s="54" t="s">
        <v>35</v>
      </c>
      <c r="AG81" s="54"/>
      <c r="AH81" s="39" t="s">
        <v>52</v>
      </c>
      <c r="AI81" s="39" t="s">
        <v>52</v>
      </c>
    </row>
    <row r="82" spans="1:35" ht="17" x14ac:dyDescent="0.2">
      <c r="A82">
        <v>207</v>
      </c>
      <c r="B82">
        <v>32</v>
      </c>
      <c r="C82" t="s">
        <v>3774</v>
      </c>
      <c r="D82" s="39" t="s">
        <v>318</v>
      </c>
      <c r="E82" s="39" t="s">
        <v>326</v>
      </c>
      <c r="F82" s="39" t="s">
        <v>35</v>
      </c>
      <c r="G82" s="39" t="s">
        <v>82</v>
      </c>
      <c r="I82" s="39" t="s">
        <v>327</v>
      </c>
      <c r="J82" s="39" t="s">
        <v>35</v>
      </c>
      <c r="K82" t="s">
        <v>328</v>
      </c>
      <c r="L82" t="s">
        <v>329</v>
      </c>
      <c r="M82" s="6" t="s">
        <v>35</v>
      </c>
      <c r="N82" t="s">
        <v>86</v>
      </c>
      <c r="O82" t="s">
        <v>49</v>
      </c>
      <c r="P82" s="35" t="s">
        <v>50</v>
      </c>
      <c r="Q82" t="s">
        <v>100</v>
      </c>
      <c r="R82" t="s">
        <v>188</v>
      </c>
      <c r="S82" s="6" t="s">
        <v>35</v>
      </c>
      <c r="T82" s="43" t="s">
        <v>202</v>
      </c>
      <c r="U82" s="43" t="s">
        <v>330</v>
      </c>
      <c r="V82" t="s">
        <v>49</v>
      </c>
      <c r="W82" s="57"/>
      <c r="X82" s="57"/>
      <c r="Y82" t="s">
        <v>50</v>
      </c>
      <c r="Z82" s="39"/>
      <c r="AA82" s="39"/>
      <c r="AB82" t="s">
        <v>44</v>
      </c>
      <c r="AC82" s="42">
        <v>39104</v>
      </c>
      <c r="AD82" s="42">
        <v>39712</v>
      </c>
      <c r="AE82" s="53" t="s">
        <v>51</v>
      </c>
      <c r="AF82" s="54" t="s">
        <v>35</v>
      </c>
      <c r="AG82" s="54"/>
      <c r="AH82" s="39" t="s">
        <v>52</v>
      </c>
      <c r="AI82" s="39" t="s">
        <v>52</v>
      </c>
    </row>
    <row r="83" spans="1:35" ht="17" x14ac:dyDescent="0.2">
      <c r="A83">
        <v>219</v>
      </c>
      <c r="B83">
        <v>128</v>
      </c>
      <c r="C83" t="s">
        <v>3777</v>
      </c>
      <c r="D83" s="39" t="s">
        <v>968</v>
      </c>
      <c r="E83" s="39" t="s">
        <v>326</v>
      </c>
      <c r="F83" s="39" t="s">
        <v>35</v>
      </c>
      <c r="G83" s="39" t="s">
        <v>82</v>
      </c>
      <c r="I83" s="39" t="s">
        <v>969</v>
      </c>
      <c r="J83" s="39" t="s">
        <v>35</v>
      </c>
      <c r="K83" t="s">
        <v>970</v>
      </c>
      <c r="L83" s="49" t="s">
        <v>573</v>
      </c>
      <c r="M83" s="6" t="s">
        <v>3784</v>
      </c>
      <c r="N83" t="s">
        <v>86</v>
      </c>
      <c r="O83" t="s">
        <v>971</v>
      </c>
      <c r="P83" s="35" t="s">
        <v>972</v>
      </c>
      <c r="Q83" t="s">
        <v>62</v>
      </c>
      <c r="R83" t="s">
        <v>973</v>
      </c>
      <c r="S83" s="6" t="s">
        <v>3785</v>
      </c>
      <c r="T83" s="43" t="s">
        <v>400</v>
      </c>
      <c r="U83" s="43" t="s">
        <v>48</v>
      </c>
      <c r="V83" t="s">
        <v>974</v>
      </c>
      <c r="W83" s="57"/>
      <c r="X83" s="57"/>
      <c r="Y83" t="s">
        <v>975</v>
      </c>
      <c r="Z83" s="39"/>
      <c r="AA83" s="39"/>
      <c r="AB83" t="s">
        <v>132</v>
      </c>
      <c r="AC83" s="42">
        <v>37642</v>
      </c>
      <c r="AD83" s="42">
        <v>38860</v>
      </c>
      <c r="AE83" s="53" t="s">
        <v>68</v>
      </c>
      <c r="AF83" s="54" t="s">
        <v>35</v>
      </c>
      <c r="AG83" s="54"/>
      <c r="AH83" s="39" t="s">
        <v>70</v>
      </c>
      <c r="AI83" s="39" t="s">
        <v>52</v>
      </c>
    </row>
    <row r="84" spans="1:35" ht="17" x14ac:dyDescent="0.2">
      <c r="A84">
        <v>257</v>
      </c>
      <c r="B84">
        <v>335</v>
      </c>
      <c r="C84" t="s">
        <v>3781</v>
      </c>
      <c r="D84" s="39" t="s">
        <v>2081</v>
      </c>
      <c r="E84" s="39" t="s">
        <v>326</v>
      </c>
      <c r="F84" s="39" t="s">
        <v>35</v>
      </c>
      <c r="G84" s="39" t="s">
        <v>55</v>
      </c>
      <c r="I84" s="39" t="s">
        <v>2082</v>
      </c>
      <c r="J84" s="39" t="s">
        <v>35</v>
      </c>
      <c r="K84" t="s">
        <v>2083</v>
      </c>
      <c r="L84" t="s">
        <v>197</v>
      </c>
      <c r="M84" s="6" t="s">
        <v>5877</v>
      </c>
      <c r="N84" t="s">
        <v>59</v>
      </c>
      <c r="O84" t="s">
        <v>198</v>
      </c>
      <c r="P84" s="35" t="s">
        <v>199</v>
      </c>
      <c r="Q84" t="s">
        <v>200</v>
      </c>
      <c r="R84" t="s">
        <v>2084</v>
      </c>
      <c r="S84" s="6" t="s">
        <v>345</v>
      </c>
      <c r="T84" s="43" t="s">
        <v>255</v>
      </c>
      <c r="U84" s="43" t="s">
        <v>409</v>
      </c>
      <c r="V84" t="s">
        <v>42</v>
      </c>
      <c r="W84" s="57"/>
      <c r="X84" s="57"/>
      <c r="Y84" t="s">
        <v>43</v>
      </c>
      <c r="Z84" s="39"/>
      <c r="AA84" s="39"/>
      <c r="AB84" t="s">
        <v>132</v>
      </c>
      <c r="AC84" s="42">
        <v>38356</v>
      </c>
      <c r="AD84" s="42">
        <v>39517</v>
      </c>
      <c r="AE84" s="53" t="s">
        <v>157</v>
      </c>
      <c r="AF84" s="54" t="s">
        <v>35</v>
      </c>
      <c r="AG84" s="54"/>
      <c r="AH84" s="39" t="s">
        <v>70</v>
      </c>
      <c r="AI84" s="39" t="s">
        <v>52</v>
      </c>
    </row>
    <row r="85" spans="1:35" ht="17" x14ac:dyDescent="0.2">
      <c r="A85" t="s">
        <v>35</v>
      </c>
      <c r="B85">
        <v>387</v>
      </c>
      <c r="C85" t="s">
        <v>5807</v>
      </c>
      <c r="D85" s="39" t="s">
        <v>2344</v>
      </c>
      <c r="E85" s="39" t="s">
        <v>326</v>
      </c>
      <c r="F85" s="39" t="s">
        <v>2345</v>
      </c>
      <c r="G85" s="39" t="s">
        <v>259</v>
      </c>
      <c r="H85" s="34"/>
      <c r="I85" s="39" t="s">
        <v>2346</v>
      </c>
      <c r="J85" s="39" t="s">
        <v>35</v>
      </c>
      <c r="K85" t="s">
        <v>2347</v>
      </c>
      <c r="L85" t="s">
        <v>2348</v>
      </c>
      <c r="M85" s="6" t="s">
        <v>5878</v>
      </c>
      <c r="N85" t="s">
        <v>97</v>
      </c>
      <c r="O85" t="s">
        <v>1536</v>
      </c>
      <c r="P85" s="35" t="s">
        <v>99</v>
      </c>
      <c r="Q85" t="s">
        <v>44</v>
      </c>
      <c r="S85" s="6" t="s">
        <v>35</v>
      </c>
      <c r="T85" s="43" t="s">
        <v>35</v>
      </c>
      <c r="U85" s="43" t="s">
        <v>35</v>
      </c>
      <c r="W85" s="57"/>
      <c r="X85" s="57"/>
      <c r="Z85" s="39"/>
      <c r="AA85" s="39"/>
      <c r="AB85" t="s">
        <v>35</v>
      </c>
      <c r="AD85" s="42" t="s">
        <v>35</v>
      </c>
      <c r="AE85" s="53" t="s">
        <v>51</v>
      </c>
      <c r="AF85" s="54" t="s">
        <v>35</v>
      </c>
      <c r="AG85" s="54"/>
      <c r="AH85" s="39" t="s">
        <v>52</v>
      </c>
      <c r="AI85" s="39" t="s">
        <v>52</v>
      </c>
    </row>
    <row r="86" spans="1:35" ht="17" x14ac:dyDescent="0.2">
      <c r="A86">
        <v>5</v>
      </c>
      <c r="B86">
        <v>436</v>
      </c>
      <c r="C86" t="s">
        <v>3786</v>
      </c>
      <c r="D86" s="39" t="s">
        <v>2570</v>
      </c>
      <c r="E86" s="39" t="s">
        <v>326</v>
      </c>
      <c r="F86" s="39" t="s">
        <v>35</v>
      </c>
      <c r="G86" s="39" t="s">
        <v>2571</v>
      </c>
      <c r="I86" s="39" t="s">
        <v>2572</v>
      </c>
      <c r="J86" s="39" t="s">
        <v>35</v>
      </c>
      <c r="K86" t="s">
        <v>2573</v>
      </c>
      <c r="L86" t="s">
        <v>2574</v>
      </c>
      <c r="M86" s="6" t="s">
        <v>3600</v>
      </c>
      <c r="N86" t="s">
        <v>86</v>
      </c>
      <c r="O86" t="s">
        <v>2575</v>
      </c>
      <c r="P86" s="35" t="s">
        <v>222</v>
      </c>
      <c r="Q86" t="s">
        <v>35</v>
      </c>
      <c r="R86" t="s">
        <v>2576</v>
      </c>
      <c r="S86" s="6" t="s">
        <v>3797</v>
      </c>
      <c r="T86" s="43" t="s">
        <v>409</v>
      </c>
      <c r="U86" s="43" t="s">
        <v>48</v>
      </c>
      <c r="V86" t="s">
        <v>2575</v>
      </c>
      <c r="W86" s="57"/>
      <c r="X86" s="57"/>
      <c r="Y86" t="s">
        <v>222</v>
      </c>
      <c r="Z86" s="39"/>
      <c r="AA86" s="39"/>
      <c r="AB86" t="s">
        <v>980</v>
      </c>
      <c r="AC86" s="42">
        <v>32464</v>
      </c>
      <c r="AD86" s="42">
        <v>33238</v>
      </c>
      <c r="AE86" s="53" t="s">
        <v>239</v>
      </c>
      <c r="AF86" s="54" t="s">
        <v>35</v>
      </c>
      <c r="AG86" s="54"/>
      <c r="AH86" s="39" t="s">
        <v>70</v>
      </c>
      <c r="AI86" s="39" t="s">
        <v>52</v>
      </c>
    </row>
    <row r="87" spans="1:35" ht="17" x14ac:dyDescent="0.2">
      <c r="A87">
        <v>200</v>
      </c>
      <c r="B87">
        <v>471</v>
      </c>
      <c r="C87" t="s">
        <v>3792</v>
      </c>
      <c r="D87" s="39" t="s">
        <v>2726</v>
      </c>
      <c r="E87" s="39" t="s">
        <v>326</v>
      </c>
      <c r="F87" s="39" t="s">
        <v>35</v>
      </c>
      <c r="G87" s="39" t="s">
        <v>82</v>
      </c>
      <c r="H87" s="34"/>
      <c r="I87" s="39" t="s">
        <v>2727</v>
      </c>
      <c r="J87" s="39" t="s">
        <v>35</v>
      </c>
      <c r="K87" t="s">
        <v>2728</v>
      </c>
      <c r="L87" t="s">
        <v>2729</v>
      </c>
      <c r="M87" s="6" t="s">
        <v>5879</v>
      </c>
      <c r="N87" t="s">
        <v>86</v>
      </c>
      <c r="O87" t="s">
        <v>49</v>
      </c>
      <c r="P87" s="35" t="s">
        <v>50</v>
      </c>
      <c r="Q87" t="s">
        <v>35</v>
      </c>
      <c r="R87" t="s">
        <v>263</v>
      </c>
      <c r="S87" s="6" t="s">
        <v>6138</v>
      </c>
      <c r="T87" s="43" t="s">
        <v>665</v>
      </c>
      <c r="U87" s="43" t="s">
        <v>2730</v>
      </c>
      <c r="W87" s="57"/>
      <c r="X87" s="57"/>
      <c r="Z87" s="39"/>
      <c r="AA87" s="39"/>
      <c r="AB87" t="s">
        <v>62</v>
      </c>
      <c r="AC87" s="42">
        <v>37278</v>
      </c>
      <c r="AD87" s="42">
        <v>38007</v>
      </c>
      <c r="AE87" s="53" t="s">
        <v>453</v>
      </c>
      <c r="AF87" s="54" t="s">
        <v>35</v>
      </c>
      <c r="AG87" s="54"/>
      <c r="AH87" s="39" t="s">
        <v>70</v>
      </c>
      <c r="AI87" s="39" t="s">
        <v>52</v>
      </c>
    </row>
    <row r="88" spans="1:35" ht="17" x14ac:dyDescent="0.2">
      <c r="A88">
        <v>224</v>
      </c>
      <c r="B88">
        <v>553</v>
      </c>
      <c r="C88" t="s">
        <v>3798</v>
      </c>
      <c r="D88" s="39" t="s">
        <v>3124</v>
      </c>
      <c r="E88" s="39" t="s">
        <v>326</v>
      </c>
      <c r="F88" s="39" t="s">
        <v>35</v>
      </c>
      <c r="G88" s="39" t="s">
        <v>82</v>
      </c>
      <c r="I88" s="39" t="s">
        <v>3125</v>
      </c>
      <c r="J88" s="39" t="s">
        <v>3126</v>
      </c>
      <c r="K88" t="s">
        <v>3127</v>
      </c>
      <c r="L88" t="s">
        <v>3128</v>
      </c>
      <c r="M88" s="6" t="s">
        <v>4700</v>
      </c>
      <c r="N88" t="s">
        <v>86</v>
      </c>
      <c r="O88" t="s">
        <v>3129</v>
      </c>
      <c r="P88" s="35" t="s">
        <v>99</v>
      </c>
      <c r="Q88" t="s">
        <v>35</v>
      </c>
      <c r="R88" t="s">
        <v>3130</v>
      </c>
      <c r="S88" s="6" t="s">
        <v>3805</v>
      </c>
      <c r="T88" s="43" t="s">
        <v>3131</v>
      </c>
      <c r="U88" s="43" t="s">
        <v>102</v>
      </c>
      <c r="V88" t="s">
        <v>49</v>
      </c>
      <c r="W88" s="57"/>
      <c r="X88" s="57"/>
      <c r="Y88" t="s">
        <v>50</v>
      </c>
      <c r="Z88" s="39"/>
      <c r="AA88" s="39"/>
      <c r="AB88" t="s">
        <v>479</v>
      </c>
      <c r="AC88" s="42">
        <v>37642</v>
      </c>
      <c r="AD88" s="42">
        <v>38007</v>
      </c>
      <c r="AE88" s="53" t="s">
        <v>239</v>
      </c>
      <c r="AF88" s="54" t="s">
        <v>35</v>
      </c>
      <c r="AG88" s="54"/>
      <c r="AH88" s="39" t="s">
        <v>70</v>
      </c>
      <c r="AI88" s="39" t="s">
        <v>52</v>
      </c>
    </row>
    <row r="89" spans="1:35" ht="17" x14ac:dyDescent="0.2">
      <c r="A89" t="s">
        <v>35</v>
      </c>
      <c r="B89">
        <v>590</v>
      </c>
      <c r="C89" t="s">
        <v>3806</v>
      </c>
      <c r="D89" s="39" t="s">
        <v>3300</v>
      </c>
      <c r="E89" s="39" t="s">
        <v>326</v>
      </c>
      <c r="F89" s="39" t="s">
        <v>265</v>
      </c>
      <c r="G89" s="39" t="s">
        <v>36</v>
      </c>
      <c r="H89" s="34"/>
      <c r="I89" s="39" t="s">
        <v>35</v>
      </c>
      <c r="J89" s="39" t="s">
        <v>35</v>
      </c>
      <c r="K89" t="s">
        <v>3301</v>
      </c>
      <c r="L89" t="s">
        <v>3302</v>
      </c>
      <c r="M89" s="6" t="s">
        <v>4053</v>
      </c>
      <c r="N89" t="s">
        <v>59</v>
      </c>
      <c r="O89" t="s">
        <v>190</v>
      </c>
      <c r="P89" s="35" t="s">
        <v>191</v>
      </c>
      <c r="Q89" t="s">
        <v>115</v>
      </c>
      <c r="R89" t="s">
        <v>3303</v>
      </c>
      <c r="S89" s="6" t="s">
        <v>3812</v>
      </c>
      <c r="T89" s="43" t="s">
        <v>1300</v>
      </c>
      <c r="U89" s="43" t="s">
        <v>2720</v>
      </c>
      <c r="V89" t="s">
        <v>42</v>
      </c>
      <c r="W89" s="57"/>
      <c r="X89" s="57"/>
      <c r="Y89" t="s">
        <v>43</v>
      </c>
      <c r="Z89" s="39"/>
      <c r="AA89" s="39"/>
      <c r="AB89" t="s">
        <v>44</v>
      </c>
      <c r="AC89" s="42">
        <v>44105</v>
      </c>
      <c r="AD89" s="42">
        <v>44256</v>
      </c>
      <c r="AE89" s="53" t="s">
        <v>51</v>
      </c>
      <c r="AF89" s="54" t="s">
        <v>35</v>
      </c>
      <c r="AG89" s="54"/>
      <c r="AH89" s="39" t="s">
        <v>52</v>
      </c>
      <c r="AI89" s="39" t="s">
        <v>52</v>
      </c>
    </row>
    <row r="90" spans="1:35" ht="17" x14ac:dyDescent="0.2">
      <c r="A90">
        <v>254</v>
      </c>
      <c r="B90">
        <v>598</v>
      </c>
      <c r="C90" t="s">
        <v>3807</v>
      </c>
      <c r="D90" s="39" t="s">
        <v>3337</v>
      </c>
      <c r="E90" s="39" t="s">
        <v>326</v>
      </c>
      <c r="F90" s="39" t="s">
        <v>35</v>
      </c>
      <c r="G90" s="39" t="s">
        <v>82</v>
      </c>
      <c r="I90" s="39" t="s">
        <v>3338</v>
      </c>
      <c r="J90" s="39" t="s">
        <v>35</v>
      </c>
      <c r="K90" t="s">
        <v>3339</v>
      </c>
      <c r="L90" t="s">
        <v>3340</v>
      </c>
      <c r="M90" s="6" t="s">
        <v>5880</v>
      </c>
      <c r="N90" t="s">
        <v>59</v>
      </c>
      <c r="O90" t="s">
        <v>2915</v>
      </c>
      <c r="P90" s="35"/>
      <c r="Q90" t="s">
        <v>558</v>
      </c>
      <c r="R90" t="s">
        <v>3341</v>
      </c>
      <c r="S90" s="6" t="s">
        <v>6139</v>
      </c>
      <c r="T90" s="43" t="s">
        <v>2867</v>
      </c>
      <c r="U90" s="43" t="s">
        <v>1349</v>
      </c>
      <c r="V90" t="s">
        <v>1884</v>
      </c>
      <c r="W90" s="57"/>
      <c r="X90" s="57"/>
      <c r="Y90" t="s">
        <v>50</v>
      </c>
      <c r="Z90" s="39"/>
      <c r="AA90" s="39"/>
      <c r="AB90" t="s">
        <v>558</v>
      </c>
      <c r="AC90" s="42">
        <v>38356</v>
      </c>
      <c r="AD90" s="42">
        <v>38858</v>
      </c>
      <c r="AE90" s="53" t="s">
        <v>51</v>
      </c>
      <c r="AF90" s="54" t="s">
        <v>35</v>
      </c>
      <c r="AG90" s="54"/>
      <c r="AH90" s="39" t="s">
        <v>52</v>
      </c>
      <c r="AI90" s="39" t="s">
        <v>52</v>
      </c>
    </row>
    <row r="91" spans="1:35" ht="17" x14ac:dyDescent="0.2">
      <c r="A91">
        <v>116</v>
      </c>
      <c r="B91">
        <v>342</v>
      </c>
      <c r="C91" t="s">
        <v>3813</v>
      </c>
      <c r="D91" s="39" t="s">
        <v>2104</v>
      </c>
      <c r="E91" s="39" t="s">
        <v>2105</v>
      </c>
      <c r="F91" s="39" t="s">
        <v>35</v>
      </c>
      <c r="G91" s="39" t="s">
        <v>205</v>
      </c>
      <c r="H91" s="34"/>
      <c r="I91" s="39" t="s">
        <v>2106</v>
      </c>
      <c r="J91" s="39" t="s">
        <v>35</v>
      </c>
      <c r="K91" t="s">
        <v>2107</v>
      </c>
      <c r="L91" t="s">
        <v>2108</v>
      </c>
      <c r="M91" s="6" t="s">
        <v>5881</v>
      </c>
      <c r="N91" s="37" t="s">
        <v>59</v>
      </c>
      <c r="O91" t="s">
        <v>49</v>
      </c>
      <c r="P91" s="35" t="s">
        <v>50</v>
      </c>
      <c r="Q91" t="s">
        <v>44</v>
      </c>
      <c r="R91" t="s">
        <v>2109</v>
      </c>
      <c r="S91" s="6" t="s">
        <v>3487</v>
      </c>
      <c r="T91" s="43" t="s">
        <v>1906</v>
      </c>
      <c r="U91" s="43" t="s">
        <v>409</v>
      </c>
      <c r="V91" t="s">
        <v>49</v>
      </c>
      <c r="W91" s="57"/>
      <c r="X91" s="57"/>
      <c r="Y91" t="s">
        <v>50</v>
      </c>
      <c r="Z91" s="39"/>
      <c r="AA91" s="39"/>
      <c r="AB91" t="s">
        <v>115</v>
      </c>
      <c r="AC91" s="42">
        <v>35488</v>
      </c>
      <c r="AD91" s="42">
        <v>37313</v>
      </c>
      <c r="AE91" s="53" t="s">
        <v>69</v>
      </c>
      <c r="AF91" s="54" t="s">
        <v>35</v>
      </c>
      <c r="AG91" s="54"/>
      <c r="AH91" s="39" t="s">
        <v>52</v>
      </c>
      <c r="AI91" s="39" t="s">
        <v>70</v>
      </c>
    </row>
    <row r="92" spans="1:35" ht="15.5" customHeight="1" x14ac:dyDescent="0.2">
      <c r="A92">
        <v>523</v>
      </c>
      <c r="B92">
        <v>68</v>
      </c>
      <c r="C92" t="s">
        <v>5767</v>
      </c>
      <c r="D92" s="39" t="s">
        <v>567</v>
      </c>
      <c r="E92" s="39" t="s">
        <v>568</v>
      </c>
      <c r="F92" s="39" t="s">
        <v>35</v>
      </c>
      <c r="G92" s="39" t="s">
        <v>36</v>
      </c>
      <c r="I92" s="39" t="s">
        <v>569</v>
      </c>
      <c r="J92" s="39" t="s">
        <v>35</v>
      </c>
      <c r="K92" t="s">
        <v>570</v>
      </c>
      <c r="L92" s="49" t="s">
        <v>571</v>
      </c>
      <c r="M92" s="6" t="s">
        <v>3820</v>
      </c>
      <c r="N92" t="s">
        <v>41</v>
      </c>
      <c r="O92" t="s">
        <v>572</v>
      </c>
      <c r="P92" s="35" t="s">
        <v>566</v>
      </c>
      <c r="Q92" t="s">
        <v>62</v>
      </c>
      <c r="R92" t="s">
        <v>573</v>
      </c>
      <c r="S92" s="6" t="s">
        <v>3501</v>
      </c>
      <c r="T92" s="43" t="s">
        <v>494</v>
      </c>
      <c r="U92" s="43" t="s">
        <v>494</v>
      </c>
      <c r="V92" t="s">
        <v>49</v>
      </c>
      <c r="W92" s="57"/>
      <c r="X92" s="57"/>
      <c r="Y92" t="s">
        <v>50</v>
      </c>
      <c r="Z92" s="39"/>
      <c r="AA92" s="39"/>
      <c r="AB92" t="s">
        <v>44</v>
      </c>
      <c r="AC92" s="42">
        <v>43836</v>
      </c>
      <c r="AD92" s="42">
        <v>44928</v>
      </c>
      <c r="AE92" s="53" t="s">
        <v>51</v>
      </c>
      <c r="AF92" s="54" t="s">
        <v>35</v>
      </c>
      <c r="AG92" s="54"/>
      <c r="AH92" s="39" t="s">
        <v>52</v>
      </c>
      <c r="AI92" s="39" t="s">
        <v>52</v>
      </c>
    </row>
    <row r="93" spans="1:35" ht="17" x14ac:dyDescent="0.2">
      <c r="A93">
        <v>381</v>
      </c>
      <c r="B93">
        <v>135</v>
      </c>
      <c r="C93" t="s">
        <v>3818</v>
      </c>
      <c r="D93" s="39" t="s">
        <v>1017</v>
      </c>
      <c r="E93" s="39" t="s">
        <v>568</v>
      </c>
      <c r="F93" s="39" t="s">
        <v>35</v>
      </c>
      <c r="G93" s="39" t="s">
        <v>36</v>
      </c>
      <c r="I93" s="39" t="s">
        <v>1018</v>
      </c>
      <c r="J93" s="39" t="s">
        <v>35</v>
      </c>
      <c r="K93" t="s">
        <v>1019</v>
      </c>
      <c r="L93" s="49" t="s">
        <v>1020</v>
      </c>
      <c r="M93" s="6" t="s">
        <v>35</v>
      </c>
      <c r="N93" t="s">
        <v>59</v>
      </c>
      <c r="O93" t="s">
        <v>49</v>
      </c>
      <c r="P93" s="35" t="s">
        <v>50</v>
      </c>
      <c r="Q93" t="s">
        <v>115</v>
      </c>
      <c r="R93" t="s">
        <v>803</v>
      </c>
      <c r="S93" s="6" t="s">
        <v>35</v>
      </c>
      <c r="T93" s="43" t="s">
        <v>400</v>
      </c>
      <c r="U93" s="43" t="s">
        <v>66</v>
      </c>
      <c r="V93" t="s">
        <v>49</v>
      </c>
      <c r="W93" s="57"/>
      <c r="X93" s="57"/>
      <c r="Y93" t="s">
        <v>50</v>
      </c>
      <c r="Z93" s="39"/>
      <c r="AA93" s="39"/>
      <c r="AB93" t="s">
        <v>62</v>
      </c>
      <c r="AC93" s="42">
        <v>41792</v>
      </c>
      <c r="AD93" s="42">
        <v>42162</v>
      </c>
      <c r="AE93" s="53" t="s">
        <v>51</v>
      </c>
      <c r="AF93" s="54" t="s">
        <v>35</v>
      </c>
      <c r="AG93" s="54"/>
      <c r="AH93" s="39" t="s">
        <v>52</v>
      </c>
      <c r="AI93" s="39" t="s">
        <v>52</v>
      </c>
    </row>
    <row r="94" spans="1:35" ht="17" x14ac:dyDescent="0.2">
      <c r="A94">
        <v>332</v>
      </c>
      <c r="B94">
        <v>195</v>
      </c>
      <c r="C94" t="s">
        <v>3821</v>
      </c>
      <c r="D94" s="39" t="s">
        <v>1351</v>
      </c>
      <c r="E94" s="39" t="s">
        <v>568</v>
      </c>
      <c r="F94" s="39" t="s">
        <v>35</v>
      </c>
      <c r="G94" s="39" t="s">
        <v>55</v>
      </c>
      <c r="I94" s="39" t="s">
        <v>1352</v>
      </c>
      <c r="J94" s="39" t="s">
        <v>35</v>
      </c>
      <c r="L94" t="s">
        <v>35</v>
      </c>
      <c r="M94" s="6" t="s">
        <v>5882</v>
      </c>
      <c r="P94" s="35"/>
      <c r="Q94" t="s">
        <v>35</v>
      </c>
      <c r="S94" s="6" t="s">
        <v>3501</v>
      </c>
      <c r="T94" s="43" t="s">
        <v>35</v>
      </c>
      <c r="U94" s="43" t="s">
        <v>35</v>
      </c>
      <c r="W94" s="57"/>
      <c r="X94" s="57"/>
      <c r="Z94" s="39"/>
      <c r="AA94" s="39"/>
      <c r="AB94" t="s">
        <v>35</v>
      </c>
      <c r="AC94" s="42">
        <v>40323</v>
      </c>
      <c r="AD94" s="42">
        <v>41533</v>
      </c>
      <c r="AE94" s="53" t="s">
        <v>805</v>
      </c>
      <c r="AF94" s="54" t="s">
        <v>239</v>
      </c>
      <c r="AG94" s="54"/>
      <c r="AH94" s="39" t="s">
        <v>70</v>
      </c>
      <c r="AI94" s="39" t="s">
        <v>52</v>
      </c>
    </row>
    <row r="95" spans="1:35" ht="17" x14ac:dyDescent="0.2">
      <c r="A95">
        <v>276</v>
      </c>
      <c r="B95">
        <v>186</v>
      </c>
      <c r="C95" t="s">
        <v>3823</v>
      </c>
      <c r="D95" s="39" t="s">
        <v>1303</v>
      </c>
      <c r="E95" s="39" t="s">
        <v>1304</v>
      </c>
      <c r="F95" s="39" t="s">
        <v>35</v>
      </c>
      <c r="G95" s="39" t="s">
        <v>55</v>
      </c>
      <c r="H95" s="34"/>
      <c r="I95" s="39" t="s">
        <v>1305</v>
      </c>
      <c r="J95" s="39" t="s">
        <v>1306</v>
      </c>
      <c r="K95" t="s">
        <v>1307</v>
      </c>
      <c r="L95" s="49" t="s">
        <v>1308</v>
      </c>
      <c r="M95" s="6" t="s">
        <v>5883</v>
      </c>
      <c r="N95" t="s">
        <v>59</v>
      </c>
      <c r="O95" t="s">
        <v>1309</v>
      </c>
      <c r="P95" s="35" t="s">
        <v>50</v>
      </c>
      <c r="Q95" t="s">
        <v>100</v>
      </c>
      <c r="R95" t="s">
        <v>171</v>
      </c>
      <c r="S95" s="6" t="s">
        <v>35</v>
      </c>
      <c r="T95" s="43" t="s">
        <v>1310</v>
      </c>
      <c r="U95" s="43" t="s">
        <v>1311</v>
      </c>
      <c r="V95" t="s">
        <v>49</v>
      </c>
      <c r="W95" s="57"/>
      <c r="X95" s="57"/>
      <c r="Y95" t="s">
        <v>50</v>
      </c>
      <c r="Z95" s="39"/>
      <c r="AA95" s="39"/>
      <c r="AB95" t="s">
        <v>62</v>
      </c>
      <c r="AC95" s="42">
        <v>38797</v>
      </c>
      <c r="AD95" s="42">
        <v>39083</v>
      </c>
      <c r="AE95" s="53" t="s">
        <v>51</v>
      </c>
      <c r="AF95" s="54" t="s">
        <v>35</v>
      </c>
      <c r="AG95" s="54"/>
      <c r="AH95" s="39" t="s">
        <v>52</v>
      </c>
      <c r="AI95" s="39" t="s">
        <v>52</v>
      </c>
    </row>
    <row r="96" spans="1:35" ht="17" x14ac:dyDescent="0.2">
      <c r="A96">
        <v>518</v>
      </c>
      <c r="B96">
        <v>564</v>
      </c>
      <c r="C96" t="s">
        <v>3827</v>
      </c>
      <c r="D96" s="39" t="s">
        <v>3182</v>
      </c>
      <c r="E96" s="39" t="s">
        <v>3183</v>
      </c>
      <c r="F96" s="39" t="s">
        <v>35</v>
      </c>
      <c r="G96" s="39" t="s">
        <v>36</v>
      </c>
      <c r="I96" s="39" t="s">
        <v>3184</v>
      </c>
      <c r="J96" s="39" t="s">
        <v>35</v>
      </c>
      <c r="K96" t="s">
        <v>3185</v>
      </c>
      <c r="L96" t="s">
        <v>1321</v>
      </c>
      <c r="M96" s="6" t="s">
        <v>4495</v>
      </c>
      <c r="N96" t="s">
        <v>59</v>
      </c>
      <c r="O96" t="s">
        <v>49</v>
      </c>
      <c r="P96" s="35" t="s">
        <v>50</v>
      </c>
      <c r="Q96" t="s">
        <v>115</v>
      </c>
      <c r="S96" s="6" t="s">
        <v>3833</v>
      </c>
      <c r="T96" s="43" t="s">
        <v>35</v>
      </c>
      <c r="U96" s="43" t="s">
        <v>35</v>
      </c>
      <c r="W96" s="57"/>
      <c r="X96" s="57"/>
      <c r="Z96" s="39"/>
      <c r="AA96" s="39"/>
      <c r="AB96" t="s">
        <v>35</v>
      </c>
      <c r="AC96" s="42">
        <v>43843</v>
      </c>
      <c r="AD96" s="42">
        <v>45093</v>
      </c>
      <c r="AE96" s="53" t="s">
        <v>453</v>
      </c>
      <c r="AF96" s="54" t="s">
        <v>730</v>
      </c>
      <c r="AG96" s="54" t="s">
        <v>68</v>
      </c>
      <c r="AH96" s="39" t="s">
        <v>70</v>
      </c>
      <c r="AI96" s="39" t="s">
        <v>70</v>
      </c>
    </row>
    <row r="97" spans="1:35" ht="17" x14ac:dyDescent="0.2">
      <c r="A97">
        <v>461</v>
      </c>
      <c r="B97">
        <v>575</v>
      </c>
      <c r="C97" t="s">
        <v>3830</v>
      </c>
      <c r="D97" s="39" t="s">
        <v>3229</v>
      </c>
      <c r="E97" s="39" t="s">
        <v>3230</v>
      </c>
      <c r="F97" s="39" t="s">
        <v>35</v>
      </c>
      <c r="G97" s="39" t="s">
        <v>36</v>
      </c>
      <c r="I97" s="39" t="s">
        <v>3231</v>
      </c>
      <c r="J97" s="39" t="s">
        <v>35</v>
      </c>
      <c r="K97" t="s">
        <v>3232</v>
      </c>
      <c r="L97" t="s">
        <v>407</v>
      </c>
      <c r="M97" s="6" t="s">
        <v>3706</v>
      </c>
      <c r="N97" t="s">
        <v>59</v>
      </c>
      <c r="O97" t="s">
        <v>42</v>
      </c>
      <c r="P97" s="35" t="s">
        <v>43</v>
      </c>
      <c r="Q97" t="s">
        <v>44</v>
      </c>
      <c r="R97" t="s">
        <v>611</v>
      </c>
      <c r="S97" s="6" t="s">
        <v>3839</v>
      </c>
      <c r="T97" s="43" t="s">
        <v>48</v>
      </c>
      <c r="U97" s="43" t="s">
        <v>48</v>
      </c>
      <c r="V97" t="s">
        <v>42</v>
      </c>
      <c r="W97" s="57"/>
      <c r="X97" s="57"/>
      <c r="Y97" t="s">
        <v>43</v>
      </c>
      <c r="Z97" s="39"/>
      <c r="AA97" s="39"/>
      <c r="AB97" t="s">
        <v>44</v>
      </c>
      <c r="AC97" s="42">
        <v>43115</v>
      </c>
      <c r="AD97" s="42">
        <v>43830</v>
      </c>
      <c r="AE97" s="53" t="s">
        <v>51</v>
      </c>
      <c r="AF97" s="54" t="s">
        <v>35</v>
      </c>
      <c r="AG97" s="54"/>
      <c r="AH97" s="39" t="s">
        <v>52</v>
      </c>
      <c r="AI97" s="39" t="s">
        <v>52</v>
      </c>
    </row>
    <row r="98" spans="1:35" ht="17" x14ac:dyDescent="0.2">
      <c r="A98">
        <v>236</v>
      </c>
      <c r="B98">
        <v>294</v>
      </c>
      <c r="C98" t="s">
        <v>3834</v>
      </c>
      <c r="D98" s="39" t="s">
        <v>732</v>
      </c>
      <c r="E98" s="39" t="s">
        <v>1859</v>
      </c>
      <c r="F98" s="39" t="s">
        <v>35</v>
      </c>
      <c r="G98" s="39" t="s">
        <v>82</v>
      </c>
      <c r="I98" s="39" t="s">
        <v>1860</v>
      </c>
      <c r="J98" s="39" t="s">
        <v>35</v>
      </c>
      <c r="K98" t="s">
        <v>1861</v>
      </c>
      <c r="L98" t="s">
        <v>1862</v>
      </c>
      <c r="M98" s="6" t="s">
        <v>5884</v>
      </c>
      <c r="N98" t="s">
        <v>86</v>
      </c>
      <c r="O98" t="s">
        <v>399</v>
      </c>
      <c r="P98" s="35" t="s">
        <v>50</v>
      </c>
      <c r="Q98" t="s">
        <v>115</v>
      </c>
      <c r="R98" t="s">
        <v>1863</v>
      </c>
      <c r="S98" s="6" t="s">
        <v>3842</v>
      </c>
      <c r="T98" s="43" t="s">
        <v>307</v>
      </c>
      <c r="U98" s="43" t="s">
        <v>494</v>
      </c>
      <c r="V98" t="s">
        <v>49</v>
      </c>
      <c r="W98" s="57"/>
      <c r="X98" s="57"/>
      <c r="Y98" t="s">
        <v>50</v>
      </c>
      <c r="Z98" s="39"/>
      <c r="AA98" s="39"/>
      <c r="AB98" t="s">
        <v>62</v>
      </c>
      <c r="AC98" s="42">
        <v>37797</v>
      </c>
      <c r="AD98" s="42">
        <v>39813</v>
      </c>
      <c r="AE98" s="53" t="s">
        <v>157</v>
      </c>
      <c r="AF98" s="54" t="s">
        <v>35</v>
      </c>
      <c r="AG98" s="54"/>
      <c r="AH98" s="39" t="s">
        <v>70</v>
      </c>
      <c r="AI98" s="39" t="s">
        <v>52</v>
      </c>
    </row>
    <row r="99" spans="1:35" ht="17" x14ac:dyDescent="0.2">
      <c r="A99">
        <v>24</v>
      </c>
      <c r="B99">
        <v>147</v>
      </c>
      <c r="C99" t="s">
        <v>3840</v>
      </c>
      <c r="D99" s="39" t="s">
        <v>1088</v>
      </c>
      <c r="E99" s="39" t="s">
        <v>1089</v>
      </c>
      <c r="F99" s="39" t="s">
        <v>35</v>
      </c>
      <c r="G99" s="39" t="s">
        <v>194</v>
      </c>
      <c r="I99" s="39" t="s">
        <v>1090</v>
      </c>
      <c r="J99" s="39" t="s">
        <v>35</v>
      </c>
      <c r="K99" t="s">
        <v>1091</v>
      </c>
      <c r="L99" s="49" t="s">
        <v>1092</v>
      </c>
      <c r="M99" s="6" t="s">
        <v>35</v>
      </c>
      <c r="N99" t="s">
        <v>86</v>
      </c>
      <c r="O99" t="s">
        <v>49</v>
      </c>
      <c r="P99" s="35" t="s">
        <v>50</v>
      </c>
      <c r="Q99" t="s">
        <v>115</v>
      </c>
      <c r="R99" t="s">
        <v>1093</v>
      </c>
      <c r="S99" s="6" t="s">
        <v>35</v>
      </c>
      <c r="T99" s="43" t="s">
        <v>1094</v>
      </c>
      <c r="U99" s="43" t="s">
        <v>47</v>
      </c>
      <c r="V99" t="s">
        <v>49</v>
      </c>
      <c r="W99" s="57"/>
      <c r="X99" s="57"/>
      <c r="Y99" t="s">
        <v>50</v>
      </c>
      <c r="Z99" s="39"/>
      <c r="AA99" s="39"/>
      <c r="AB99" t="s">
        <v>115</v>
      </c>
      <c r="AC99" s="42">
        <v>33240</v>
      </c>
      <c r="AD99" s="42">
        <v>34236</v>
      </c>
      <c r="AE99" s="53" t="s">
        <v>116</v>
      </c>
      <c r="AF99" s="54" t="s">
        <v>35</v>
      </c>
      <c r="AG99" s="54"/>
      <c r="AH99" s="39" t="s">
        <v>70</v>
      </c>
      <c r="AI99" s="39" t="s">
        <v>52</v>
      </c>
    </row>
    <row r="100" spans="1:35" ht="17" x14ac:dyDescent="0.2">
      <c r="A100">
        <v>90</v>
      </c>
      <c r="B100">
        <v>271</v>
      </c>
      <c r="C100" t="s">
        <v>3843</v>
      </c>
      <c r="D100" s="39" t="s">
        <v>1746</v>
      </c>
      <c r="E100" s="39" t="s">
        <v>1089</v>
      </c>
      <c r="F100" s="39" t="s">
        <v>35</v>
      </c>
      <c r="G100" s="39" t="s">
        <v>194</v>
      </c>
      <c r="I100" s="39" t="s">
        <v>35</v>
      </c>
      <c r="J100" s="39" t="s">
        <v>35</v>
      </c>
      <c r="L100" t="s">
        <v>35</v>
      </c>
      <c r="M100" s="6" t="s">
        <v>3589</v>
      </c>
      <c r="P100" s="35"/>
      <c r="Q100" t="s">
        <v>35</v>
      </c>
      <c r="S100" s="6" t="s">
        <v>153</v>
      </c>
      <c r="T100" s="43" t="s">
        <v>35</v>
      </c>
      <c r="U100" s="43" t="s">
        <v>35</v>
      </c>
      <c r="W100" s="57"/>
      <c r="X100" s="57"/>
      <c r="Z100" s="39"/>
      <c r="AA100" s="39"/>
      <c r="AB100" t="s">
        <v>35</v>
      </c>
      <c r="AC100" s="42">
        <v>34236</v>
      </c>
      <c r="AD100" s="42">
        <v>34347</v>
      </c>
      <c r="AE100" s="53" t="s">
        <v>51</v>
      </c>
      <c r="AF100" s="54" t="s">
        <v>35</v>
      </c>
      <c r="AG100" s="54"/>
      <c r="AH100" s="39" t="s">
        <v>52</v>
      </c>
      <c r="AI100" s="39" t="s">
        <v>52</v>
      </c>
    </row>
    <row r="101" spans="1:35" ht="17" x14ac:dyDescent="0.2">
      <c r="A101">
        <v>283</v>
      </c>
      <c r="B101">
        <v>397</v>
      </c>
      <c r="C101" t="s">
        <v>3844</v>
      </c>
      <c r="D101" s="39" t="s">
        <v>2396</v>
      </c>
      <c r="E101" s="39" t="s">
        <v>1089</v>
      </c>
      <c r="F101" s="39" t="s">
        <v>35</v>
      </c>
      <c r="G101" s="39" t="s">
        <v>55</v>
      </c>
      <c r="H101" s="34"/>
      <c r="I101" s="39" t="s">
        <v>2397</v>
      </c>
      <c r="J101" s="39" t="s">
        <v>35</v>
      </c>
      <c r="K101" t="s">
        <v>2398</v>
      </c>
      <c r="L101" t="s">
        <v>2399</v>
      </c>
      <c r="M101" s="6" t="s">
        <v>5885</v>
      </c>
      <c r="N101" t="s">
        <v>86</v>
      </c>
      <c r="O101" t="s">
        <v>49</v>
      </c>
      <c r="P101" s="35" t="s">
        <v>50</v>
      </c>
      <c r="Q101" t="s">
        <v>100</v>
      </c>
      <c r="R101" t="s">
        <v>188</v>
      </c>
      <c r="S101" s="6" t="s">
        <v>5958</v>
      </c>
      <c r="T101" s="43" t="s">
        <v>1226</v>
      </c>
      <c r="U101" s="43" t="s">
        <v>1132</v>
      </c>
      <c r="V101" t="s">
        <v>49</v>
      </c>
      <c r="W101" s="57"/>
      <c r="X101" s="57"/>
      <c r="Y101" t="s">
        <v>50</v>
      </c>
      <c r="Z101" s="39"/>
      <c r="AA101" s="39"/>
      <c r="AB101" t="s">
        <v>44</v>
      </c>
      <c r="AC101" s="42">
        <v>38860</v>
      </c>
      <c r="AD101" s="42">
        <v>39406</v>
      </c>
      <c r="AE101" s="53" t="s">
        <v>157</v>
      </c>
      <c r="AF101" s="54" t="s">
        <v>35</v>
      </c>
      <c r="AG101" s="54"/>
      <c r="AH101" s="39" t="s">
        <v>70</v>
      </c>
      <c r="AI101" s="39" t="s">
        <v>52</v>
      </c>
    </row>
    <row r="102" spans="1:35" ht="17" x14ac:dyDescent="0.2">
      <c r="A102">
        <v>437</v>
      </c>
      <c r="B102">
        <v>160</v>
      </c>
      <c r="C102" t="s">
        <v>3847</v>
      </c>
      <c r="D102" s="39" t="s">
        <v>1152</v>
      </c>
      <c r="E102" s="39" t="s">
        <v>1157</v>
      </c>
      <c r="F102" s="39" t="s">
        <v>35</v>
      </c>
      <c r="G102" s="39" t="s">
        <v>36</v>
      </c>
      <c r="I102" s="39" t="s">
        <v>1158</v>
      </c>
      <c r="J102" s="39" t="s">
        <v>1159</v>
      </c>
      <c r="K102" t="s">
        <v>1160</v>
      </c>
      <c r="L102" s="49" t="s">
        <v>1161</v>
      </c>
      <c r="M102" s="6" t="s">
        <v>3610</v>
      </c>
      <c r="N102" t="s">
        <v>41</v>
      </c>
      <c r="O102" t="s">
        <v>1151</v>
      </c>
      <c r="P102" s="35" t="s">
        <v>640</v>
      </c>
      <c r="Q102" t="s">
        <v>35</v>
      </c>
      <c r="R102" t="s">
        <v>631</v>
      </c>
      <c r="S102" s="6" t="s">
        <v>6140</v>
      </c>
      <c r="T102" s="43" t="s">
        <v>182</v>
      </c>
      <c r="U102" s="43" t="s">
        <v>445</v>
      </c>
      <c r="V102" t="s">
        <v>42</v>
      </c>
      <c r="W102" s="57"/>
      <c r="X102" s="57"/>
      <c r="Y102" t="s">
        <v>43</v>
      </c>
      <c r="Z102" s="39"/>
      <c r="AA102" s="39"/>
      <c r="AB102" t="s">
        <v>62</v>
      </c>
      <c r="AE102" s="53" t="s">
        <v>51</v>
      </c>
      <c r="AF102" s="54" t="s">
        <v>35</v>
      </c>
      <c r="AG102" s="54"/>
      <c r="AH102" s="39" t="s">
        <v>52</v>
      </c>
      <c r="AI102" s="39" t="s">
        <v>52</v>
      </c>
    </row>
    <row r="103" spans="1:35" ht="17" x14ac:dyDescent="0.2">
      <c r="A103">
        <v>442</v>
      </c>
      <c r="B103">
        <v>307</v>
      </c>
      <c r="C103" t="s">
        <v>3852</v>
      </c>
      <c r="D103" s="39" t="s">
        <v>1933</v>
      </c>
      <c r="E103" s="39" t="s">
        <v>1157</v>
      </c>
      <c r="F103" s="39" t="s">
        <v>35</v>
      </c>
      <c r="G103" s="39" t="s">
        <v>36</v>
      </c>
      <c r="I103" s="39" t="s">
        <v>1934</v>
      </c>
      <c r="J103" s="39" t="s">
        <v>35</v>
      </c>
      <c r="K103" t="s">
        <v>1935</v>
      </c>
      <c r="L103" t="s">
        <v>1876</v>
      </c>
      <c r="M103" s="6" t="s">
        <v>35</v>
      </c>
      <c r="N103" t="s">
        <v>97</v>
      </c>
      <c r="O103" t="s">
        <v>49</v>
      </c>
      <c r="P103" s="35" t="s">
        <v>50</v>
      </c>
      <c r="Q103" t="s">
        <v>62</v>
      </c>
      <c r="R103" t="s">
        <v>1447</v>
      </c>
      <c r="S103" s="6" t="s">
        <v>35</v>
      </c>
      <c r="T103" s="43" t="s">
        <v>494</v>
      </c>
      <c r="U103" s="43" t="s">
        <v>755</v>
      </c>
      <c r="V103" t="s">
        <v>49</v>
      </c>
      <c r="W103" s="57"/>
      <c r="X103" s="57"/>
      <c r="Y103" t="s">
        <v>50</v>
      </c>
      <c r="Z103" s="39"/>
      <c r="AA103" s="39"/>
      <c r="AB103" t="s">
        <v>62</v>
      </c>
      <c r="AC103" s="42">
        <v>43132</v>
      </c>
      <c r="AD103" s="42">
        <v>43769</v>
      </c>
      <c r="AE103" s="53" t="s">
        <v>69</v>
      </c>
      <c r="AF103" s="54" t="s">
        <v>290</v>
      </c>
      <c r="AG103" s="54"/>
      <c r="AH103" s="39" t="s">
        <v>70</v>
      </c>
      <c r="AI103" s="39" t="s">
        <v>70</v>
      </c>
    </row>
    <row r="104" spans="1:35" ht="17" x14ac:dyDescent="0.2">
      <c r="A104">
        <v>94</v>
      </c>
      <c r="B104">
        <v>38</v>
      </c>
      <c r="C104" t="s">
        <v>3854</v>
      </c>
      <c r="D104" s="39" t="s">
        <v>370</v>
      </c>
      <c r="E104" s="39" t="s">
        <v>371</v>
      </c>
      <c r="F104" s="39" t="s">
        <v>35</v>
      </c>
      <c r="G104" s="39" t="s">
        <v>194</v>
      </c>
      <c r="I104" s="39" t="s">
        <v>35</v>
      </c>
      <c r="J104" s="39" t="s">
        <v>35</v>
      </c>
      <c r="M104" s="6" t="s">
        <v>35</v>
      </c>
      <c r="P104" s="35"/>
      <c r="Q104" t="s">
        <v>35</v>
      </c>
      <c r="S104" s="6" t="s">
        <v>35</v>
      </c>
      <c r="T104" s="43" t="s">
        <v>35</v>
      </c>
      <c r="U104" s="43" t="s">
        <v>35</v>
      </c>
      <c r="W104" s="57"/>
      <c r="X104" s="57"/>
      <c r="Z104" s="39"/>
      <c r="AA104" s="39"/>
      <c r="AB104" t="s">
        <v>35</v>
      </c>
      <c r="AC104" s="42">
        <v>34431</v>
      </c>
      <c r="AD104" s="42">
        <v>34633</v>
      </c>
      <c r="AE104" s="53" t="s">
        <v>239</v>
      </c>
      <c r="AF104" s="54" t="s">
        <v>35</v>
      </c>
      <c r="AG104" s="54"/>
      <c r="AH104" s="39" t="s">
        <v>70</v>
      </c>
      <c r="AI104" s="39" t="s">
        <v>52</v>
      </c>
    </row>
    <row r="105" spans="1:35" ht="17" x14ac:dyDescent="0.2">
      <c r="A105">
        <v>520</v>
      </c>
      <c r="B105">
        <v>7</v>
      </c>
      <c r="C105" t="s">
        <v>3855</v>
      </c>
      <c r="D105" s="39" t="s">
        <v>117</v>
      </c>
      <c r="E105" s="39" t="s">
        <v>118</v>
      </c>
      <c r="F105" s="39" t="s">
        <v>35</v>
      </c>
      <c r="G105" s="39" t="s">
        <v>36</v>
      </c>
      <c r="H105" s="34"/>
      <c r="I105" s="39" t="s">
        <v>119</v>
      </c>
      <c r="J105" s="39" t="s">
        <v>120</v>
      </c>
      <c r="K105" t="s">
        <v>121</v>
      </c>
      <c r="L105" t="s">
        <v>122</v>
      </c>
      <c r="M105" s="6" t="s">
        <v>5886</v>
      </c>
      <c r="N105" t="s">
        <v>97</v>
      </c>
      <c r="O105" t="s">
        <v>123</v>
      </c>
      <c r="P105" s="35"/>
      <c r="Q105" t="s">
        <v>44</v>
      </c>
      <c r="R105" t="s">
        <v>124</v>
      </c>
      <c r="S105" s="6" t="s">
        <v>6141</v>
      </c>
      <c r="T105" s="43" t="s">
        <v>125</v>
      </c>
      <c r="U105" s="43" t="s">
        <v>126</v>
      </c>
      <c r="V105" t="s">
        <v>123</v>
      </c>
      <c r="W105" s="57"/>
      <c r="X105" s="57"/>
      <c r="Y105" t="s">
        <v>99</v>
      </c>
      <c r="Z105" s="39"/>
      <c r="AA105" s="39"/>
      <c r="AB105" t="s">
        <v>44</v>
      </c>
      <c r="AC105" s="42">
        <v>43983</v>
      </c>
      <c r="AD105" s="42">
        <v>44531</v>
      </c>
      <c r="AE105" s="53" t="s">
        <v>51</v>
      </c>
      <c r="AF105" s="54" t="s">
        <v>35</v>
      </c>
      <c r="AG105" s="54"/>
      <c r="AH105" s="39" t="s">
        <v>52</v>
      </c>
      <c r="AI105" s="39" t="s">
        <v>52</v>
      </c>
    </row>
    <row r="106" spans="1:35" ht="17" x14ac:dyDescent="0.2">
      <c r="A106">
        <v>109</v>
      </c>
      <c r="B106">
        <v>555</v>
      </c>
      <c r="C106" t="s">
        <v>3861</v>
      </c>
      <c r="D106" s="39" t="s">
        <v>3137</v>
      </c>
      <c r="E106" s="39" t="s">
        <v>3138</v>
      </c>
      <c r="F106" s="39" t="s">
        <v>35</v>
      </c>
      <c r="G106" s="39" t="s">
        <v>205</v>
      </c>
      <c r="I106" s="39" t="s">
        <v>3139</v>
      </c>
      <c r="J106" s="39" t="s">
        <v>35</v>
      </c>
      <c r="K106" t="s">
        <v>3140</v>
      </c>
      <c r="L106" t="s">
        <v>3141</v>
      </c>
      <c r="M106" s="6" t="s">
        <v>3837</v>
      </c>
      <c r="N106" s="36" t="s">
        <v>86</v>
      </c>
      <c r="P106" s="35"/>
      <c r="Q106" t="s">
        <v>62</v>
      </c>
      <c r="R106" t="s">
        <v>3142</v>
      </c>
      <c r="S106" s="6" t="s">
        <v>3865</v>
      </c>
      <c r="T106" s="43" t="s">
        <v>66</v>
      </c>
      <c r="U106" s="43" t="s">
        <v>90</v>
      </c>
      <c r="V106" t="s">
        <v>49</v>
      </c>
      <c r="W106" s="57"/>
      <c r="X106" s="57"/>
      <c r="Y106" t="s">
        <v>50</v>
      </c>
      <c r="Z106" s="39"/>
      <c r="AA106" s="39"/>
      <c r="AB106" t="s">
        <v>558</v>
      </c>
      <c r="AC106" s="42">
        <v>35104</v>
      </c>
      <c r="AD106" s="42">
        <v>35394</v>
      </c>
      <c r="AE106" s="53" t="s">
        <v>157</v>
      </c>
      <c r="AF106" s="54" t="s">
        <v>35</v>
      </c>
      <c r="AG106" s="54"/>
      <c r="AH106" s="39" t="s">
        <v>52</v>
      </c>
      <c r="AI106" s="39" t="s">
        <v>52</v>
      </c>
    </row>
    <row r="107" spans="1:35" ht="34" x14ac:dyDescent="0.2">
      <c r="A107">
        <v>272</v>
      </c>
      <c r="B107">
        <v>148</v>
      </c>
      <c r="C107" t="s">
        <v>3868</v>
      </c>
      <c r="D107" s="39" t="s">
        <v>1095</v>
      </c>
      <c r="E107" s="39" t="s">
        <v>1096</v>
      </c>
      <c r="F107" s="39" t="s">
        <v>35</v>
      </c>
      <c r="G107" s="39" t="s">
        <v>82</v>
      </c>
      <c r="I107" s="39" t="s">
        <v>1097</v>
      </c>
      <c r="J107" s="39" t="s">
        <v>35</v>
      </c>
      <c r="K107" t="s">
        <v>1098</v>
      </c>
      <c r="L107" s="49" t="s">
        <v>1099</v>
      </c>
      <c r="M107" s="6" t="s">
        <v>5887</v>
      </c>
      <c r="N107" t="s">
        <v>59</v>
      </c>
      <c r="P107" s="35"/>
      <c r="Q107" t="s">
        <v>200</v>
      </c>
      <c r="R107" t="s">
        <v>1100</v>
      </c>
      <c r="S107" s="6" t="s">
        <v>3872</v>
      </c>
      <c r="T107" s="43" t="s">
        <v>871</v>
      </c>
      <c r="U107" s="43" t="s">
        <v>376</v>
      </c>
      <c r="V107" t="s">
        <v>123</v>
      </c>
      <c r="W107" s="57"/>
      <c r="X107" s="57"/>
      <c r="Y107" t="s">
        <v>99</v>
      </c>
      <c r="Z107" s="39"/>
      <c r="AA107" s="39"/>
      <c r="AB107" t="s">
        <v>87</v>
      </c>
      <c r="AC107" s="42">
        <v>38732</v>
      </c>
      <c r="AD107" s="42">
        <v>39406</v>
      </c>
      <c r="AE107" s="53" t="s">
        <v>51</v>
      </c>
      <c r="AF107" s="54" t="s">
        <v>35</v>
      </c>
      <c r="AG107" s="54"/>
      <c r="AH107" s="39" t="s">
        <v>52</v>
      </c>
      <c r="AI107" s="39" t="s">
        <v>52</v>
      </c>
    </row>
    <row r="108" spans="1:35" ht="17" x14ac:dyDescent="0.2">
      <c r="A108">
        <v>19</v>
      </c>
      <c r="B108">
        <v>111</v>
      </c>
      <c r="C108" t="s">
        <v>3879</v>
      </c>
      <c r="D108" s="39" t="s">
        <v>853</v>
      </c>
      <c r="E108" s="39" t="s">
        <v>854</v>
      </c>
      <c r="F108" s="39" t="s">
        <v>35</v>
      </c>
      <c r="G108" s="39" t="s">
        <v>139</v>
      </c>
      <c r="I108" s="39" t="s">
        <v>855</v>
      </c>
      <c r="J108" s="39" t="s">
        <v>35</v>
      </c>
      <c r="K108" t="s">
        <v>856</v>
      </c>
      <c r="L108" s="49" t="s">
        <v>857</v>
      </c>
      <c r="M108" s="6" t="s">
        <v>3881</v>
      </c>
      <c r="N108" t="s">
        <v>59</v>
      </c>
      <c r="O108" t="s">
        <v>49</v>
      </c>
      <c r="P108" s="35" t="s">
        <v>50</v>
      </c>
      <c r="Q108" t="s">
        <v>44</v>
      </c>
      <c r="R108" t="s">
        <v>858</v>
      </c>
      <c r="S108" s="6" t="s">
        <v>3882</v>
      </c>
      <c r="T108" s="43" t="s">
        <v>859</v>
      </c>
      <c r="U108" s="43" t="s">
        <v>860</v>
      </c>
      <c r="V108" t="s">
        <v>49</v>
      </c>
      <c r="W108" s="57"/>
      <c r="X108" s="57"/>
      <c r="Y108" t="s">
        <v>50</v>
      </c>
      <c r="Z108" s="39"/>
      <c r="AA108" s="39"/>
      <c r="AB108" t="s">
        <v>44</v>
      </c>
      <c r="AC108" s="42">
        <v>33240</v>
      </c>
      <c r="AD108" s="42">
        <v>34233</v>
      </c>
      <c r="AE108" s="53" t="s">
        <v>51</v>
      </c>
      <c r="AF108" s="54" t="s">
        <v>35</v>
      </c>
      <c r="AG108" s="54"/>
      <c r="AH108" s="39" t="s">
        <v>52</v>
      </c>
      <c r="AI108" s="39" t="s">
        <v>52</v>
      </c>
    </row>
    <row r="109" spans="1:35" ht="17" x14ac:dyDescent="0.2">
      <c r="B109">
        <v>557</v>
      </c>
      <c r="C109" t="s">
        <v>5833</v>
      </c>
      <c r="D109" s="39" t="s">
        <v>3149</v>
      </c>
      <c r="E109" s="39" t="s">
        <v>854</v>
      </c>
      <c r="F109" s="39" t="s">
        <v>35</v>
      </c>
      <c r="G109" s="39" t="s">
        <v>259</v>
      </c>
      <c r="I109" s="39" t="s">
        <v>3150</v>
      </c>
      <c r="J109" s="39" t="s">
        <v>3151</v>
      </c>
      <c r="K109" t="s">
        <v>3152</v>
      </c>
      <c r="L109" t="s">
        <v>3153</v>
      </c>
      <c r="M109" s="6" t="s">
        <v>5888</v>
      </c>
      <c r="N109" t="s">
        <v>131</v>
      </c>
      <c r="O109" t="s">
        <v>49</v>
      </c>
      <c r="P109" s="35" t="s">
        <v>50</v>
      </c>
      <c r="Q109" t="s">
        <v>132</v>
      </c>
      <c r="R109" t="s">
        <v>2968</v>
      </c>
      <c r="S109" s="6" t="s">
        <v>3556</v>
      </c>
      <c r="T109" s="43" t="s">
        <v>213</v>
      </c>
      <c r="U109" s="43" t="s">
        <v>213</v>
      </c>
      <c r="V109" t="s">
        <v>49</v>
      </c>
      <c r="W109" s="57"/>
      <c r="X109" s="57"/>
      <c r="Y109" t="s">
        <v>50</v>
      </c>
      <c r="Z109" s="39"/>
      <c r="AA109" s="39"/>
      <c r="AB109" t="s">
        <v>132</v>
      </c>
      <c r="AC109" s="42">
        <v>45293</v>
      </c>
      <c r="AD109" s="42">
        <v>45663</v>
      </c>
      <c r="AE109" s="53" t="s">
        <v>51</v>
      </c>
      <c r="AF109" s="54" t="s">
        <v>35</v>
      </c>
      <c r="AG109" s="54"/>
      <c r="AH109" s="39" t="s">
        <v>52</v>
      </c>
      <c r="AI109" s="39" t="s">
        <v>52</v>
      </c>
    </row>
    <row r="110" spans="1:35" ht="34" x14ac:dyDescent="0.2">
      <c r="A110">
        <v>189</v>
      </c>
      <c r="B110">
        <v>132</v>
      </c>
      <c r="C110" t="s">
        <v>3892</v>
      </c>
      <c r="D110" s="39" t="s">
        <v>999</v>
      </c>
      <c r="E110" s="39" t="s">
        <v>1000</v>
      </c>
      <c r="F110" s="39" t="s">
        <v>35</v>
      </c>
      <c r="G110" s="39" t="s">
        <v>82</v>
      </c>
      <c r="I110" s="39" t="s">
        <v>1001</v>
      </c>
      <c r="J110" s="39" t="s">
        <v>35</v>
      </c>
      <c r="K110" t="s">
        <v>1002</v>
      </c>
      <c r="L110" s="49" t="s">
        <v>1003</v>
      </c>
      <c r="M110" s="6" t="s">
        <v>3894</v>
      </c>
      <c r="N110" t="s">
        <v>41</v>
      </c>
      <c r="O110" t="s">
        <v>49</v>
      </c>
      <c r="P110" s="35" t="s">
        <v>50</v>
      </c>
      <c r="Q110" t="s">
        <v>44</v>
      </c>
      <c r="R110" t="s">
        <v>1004</v>
      </c>
      <c r="S110" s="6" t="s">
        <v>3895</v>
      </c>
      <c r="T110" s="43" t="s">
        <v>400</v>
      </c>
      <c r="U110" s="43" t="s">
        <v>528</v>
      </c>
      <c r="V110" t="s">
        <v>49</v>
      </c>
      <c r="W110" s="57"/>
      <c r="X110" s="57"/>
      <c r="Y110" t="s">
        <v>50</v>
      </c>
      <c r="Z110" s="39"/>
      <c r="AA110" s="39"/>
      <c r="AB110" t="s">
        <v>44</v>
      </c>
      <c r="AC110" s="42">
        <v>37013</v>
      </c>
      <c r="AD110" s="42">
        <v>37151</v>
      </c>
      <c r="AE110" s="53" t="s">
        <v>51</v>
      </c>
      <c r="AF110" s="54" t="s">
        <v>35</v>
      </c>
      <c r="AG110" s="54"/>
      <c r="AH110" s="39" t="s">
        <v>52</v>
      </c>
      <c r="AI110" s="39" t="s">
        <v>52</v>
      </c>
    </row>
    <row r="111" spans="1:35" ht="17" x14ac:dyDescent="0.2">
      <c r="A111">
        <v>92</v>
      </c>
      <c r="B111">
        <v>140</v>
      </c>
      <c r="C111" t="s">
        <v>3896</v>
      </c>
      <c r="D111" s="39" t="s">
        <v>1046</v>
      </c>
      <c r="E111" s="39" t="s">
        <v>1000</v>
      </c>
      <c r="F111" s="39" t="s">
        <v>35</v>
      </c>
      <c r="G111" s="39" t="s">
        <v>194</v>
      </c>
      <c r="I111" s="39" t="s">
        <v>1047</v>
      </c>
      <c r="J111" s="39" t="s">
        <v>35</v>
      </c>
      <c r="K111" t="s">
        <v>1048</v>
      </c>
      <c r="L111" s="49" t="s">
        <v>1049</v>
      </c>
      <c r="M111" s="6" t="s">
        <v>153</v>
      </c>
      <c r="N111" t="s">
        <v>86</v>
      </c>
      <c r="O111" t="s">
        <v>49</v>
      </c>
      <c r="P111" s="35" t="s">
        <v>50</v>
      </c>
      <c r="Q111" t="s">
        <v>115</v>
      </c>
      <c r="R111" t="s">
        <v>1050</v>
      </c>
      <c r="S111" s="6" t="s">
        <v>3898</v>
      </c>
      <c r="T111" s="43" t="s">
        <v>1051</v>
      </c>
      <c r="U111" s="43" t="s">
        <v>324</v>
      </c>
      <c r="V111" t="s">
        <v>1052</v>
      </c>
      <c r="W111" s="57"/>
      <c r="X111" s="57"/>
      <c r="Y111" t="s">
        <v>50</v>
      </c>
      <c r="Z111" s="39"/>
      <c r="AA111" s="39"/>
      <c r="AB111" t="s">
        <v>558</v>
      </c>
      <c r="AC111" s="42">
        <v>34243</v>
      </c>
      <c r="AD111" s="42">
        <v>34455</v>
      </c>
      <c r="AE111" s="53" t="s">
        <v>51</v>
      </c>
      <c r="AF111" s="54" t="s">
        <v>35</v>
      </c>
      <c r="AG111" s="54"/>
      <c r="AH111" s="39" t="s">
        <v>52</v>
      </c>
      <c r="AI111" s="39" t="s">
        <v>52</v>
      </c>
    </row>
    <row r="112" spans="1:35" ht="17" x14ac:dyDescent="0.2">
      <c r="A112">
        <v>403</v>
      </c>
      <c r="B112">
        <v>284</v>
      </c>
      <c r="C112" t="s">
        <v>3899</v>
      </c>
      <c r="D112" s="39" t="s">
        <v>1811</v>
      </c>
      <c r="E112" s="39" t="s">
        <v>1000</v>
      </c>
      <c r="F112" s="39" t="s">
        <v>35</v>
      </c>
      <c r="G112" s="39" t="s">
        <v>160</v>
      </c>
      <c r="I112" s="39" t="s">
        <v>1812</v>
      </c>
      <c r="J112" s="39" t="s">
        <v>35</v>
      </c>
      <c r="K112" t="s">
        <v>1813</v>
      </c>
      <c r="L112" t="s">
        <v>1814</v>
      </c>
      <c r="M112" s="6" t="s">
        <v>5889</v>
      </c>
      <c r="N112" t="s">
        <v>59</v>
      </c>
      <c r="O112" t="s">
        <v>621</v>
      </c>
      <c r="P112" s="35"/>
      <c r="Q112" t="s">
        <v>44</v>
      </c>
      <c r="R112" t="s">
        <v>1447</v>
      </c>
      <c r="S112" s="6" t="s">
        <v>3901</v>
      </c>
      <c r="T112" s="43" t="s">
        <v>164</v>
      </c>
      <c r="U112" s="43" t="s">
        <v>48</v>
      </c>
      <c r="V112" t="s">
        <v>621</v>
      </c>
      <c r="W112" s="57"/>
      <c r="X112" s="57"/>
      <c r="Y112" t="s">
        <v>622</v>
      </c>
      <c r="Z112" s="39"/>
      <c r="AA112" s="39"/>
      <c r="AB112" t="s">
        <v>62</v>
      </c>
      <c r="AC112" s="42">
        <v>42015</v>
      </c>
      <c r="AD112" s="42">
        <v>42534</v>
      </c>
      <c r="AE112" s="53" t="s">
        <v>425</v>
      </c>
      <c r="AF112" s="54" t="s">
        <v>35</v>
      </c>
      <c r="AG112" s="54"/>
      <c r="AH112" s="39" t="s">
        <v>52</v>
      </c>
      <c r="AI112" s="39" t="s">
        <v>70</v>
      </c>
    </row>
    <row r="113" spans="1:35" ht="15.5" customHeight="1" x14ac:dyDescent="0.2">
      <c r="A113">
        <v>185</v>
      </c>
      <c r="B113">
        <v>510</v>
      </c>
      <c r="C113" t="s">
        <v>3902</v>
      </c>
      <c r="D113" s="39" t="s">
        <v>2902</v>
      </c>
      <c r="E113" s="39" t="s">
        <v>1000</v>
      </c>
      <c r="F113" s="39" t="s">
        <v>35</v>
      </c>
      <c r="G113" s="39" t="s">
        <v>82</v>
      </c>
      <c r="I113" s="39" t="s">
        <v>2908</v>
      </c>
      <c r="J113" s="39" t="s">
        <v>35</v>
      </c>
      <c r="K113" t="s">
        <v>2909</v>
      </c>
      <c r="L113" t="s">
        <v>2910</v>
      </c>
      <c r="M113" s="6" t="s">
        <v>5890</v>
      </c>
      <c r="N113" t="s">
        <v>86</v>
      </c>
      <c r="O113" t="s">
        <v>49</v>
      </c>
      <c r="P113" s="35" t="s">
        <v>50</v>
      </c>
      <c r="Q113" t="s">
        <v>115</v>
      </c>
      <c r="R113" t="s">
        <v>2911</v>
      </c>
      <c r="S113" s="6" t="s">
        <v>3904</v>
      </c>
      <c r="T113" s="43" t="s">
        <v>2730</v>
      </c>
      <c r="U113" s="43" t="s">
        <v>1720</v>
      </c>
      <c r="W113" s="57"/>
      <c r="X113" s="57"/>
      <c r="Z113" s="39"/>
      <c r="AA113" s="39"/>
      <c r="AB113" t="s">
        <v>115</v>
      </c>
      <c r="AC113" s="42">
        <v>36655</v>
      </c>
      <c r="AD113" s="42">
        <v>38007</v>
      </c>
      <c r="AE113" s="53" t="s">
        <v>116</v>
      </c>
      <c r="AF113" s="54" t="s">
        <v>35</v>
      </c>
      <c r="AG113" s="54"/>
      <c r="AH113" s="39" t="s">
        <v>70</v>
      </c>
      <c r="AI113" s="39" t="s">
        <v>52</v>
      </c>
    </row>
    <row r="114" spans="1:35" ht="17" x14ac:dyDescent="0.2">
      <c r="A114">
        <v>386</v>
      </c>
      <c r="B114">
        <v>543</v>
      </c>
      <c r="C114" t="s">
        <v>3905</v>
      </c>
      <c r="D114" s="39" t="s">
        <v>3077</v>
      </c>
      <c r="E114" s="39" t="s">
        <v>1000</v>
      </c>
      <c r="F114" s="39" t="s">
        <v>35</v>
      </c>
      <c r="G114" s="39" t="s">
        <v>160</v>
      </c>
      <c r="I114" s="39" t="s">
        <v>3078</v>
      </c>
      <c r="J114" s="39" t="s">
        <v>35</v>
      </c>
      <c r="K114" t="s">
        <v>3079</v>
      </c>
      <c r="L114" t="s">
        <v>3080</v>
      </c>
      <c r="M114" s="6" t="s">
        <v>5891</v>
      </c>
      <c r="N114" t="s">
        <v>86</v>
      </c>
      <c r="O114" t="s">
        <v>3081</v>
      </c>
      <c r="P114" s="35" t="s">
        <v>50</v>
      </c>
      <c r="Q114" t="s">
        <v>76</v>
      </c>
      <c r="R114" t="s">
        <v>3082</v>
      </c>
      <c r="S114" s="6" t="s">
        <v>6142</v>
      </c>
      <c r="T114" s="43" t="s">
        <v>494</v>
      </c>
      <c r="U114" s="43" t="s">
        <v>213</v>
      </c>
      <c r="V114" t="s">
        <v>49</v>
      </c>
      <c r="W114" s="57"/>
      <c r="X114" s="57"/>
      <c r="Y114" t="s">
        <v>50</v>
      </c>
      <c r="Z114" s="39"/>
      <c r="AA114" s="39"/>
      <c r="AB114" t="s">
        <v>76</v>
      </c>
      <c r="AC114" s="42">
        <v>41799</v>
      </c>
      <c r="AD114" s="42">
        <v>42123</v>
      </c>
      <c r="AE114" s="53" t="s">
        <v>69</v>
      </c>
      <c r="AF114" s="54" t="s">
        <v>35</v>
      </c>
      <c r="AG114" s="54"/>
      <c r="AH114" s="39" t="s">
        <v>52</v>
      </c>
      <c r="AI114" s="39" t="s">
        <v>70</v>
      </c>
    </row>
    <row r="115" spans="1:35" ht="17" x14ac:dyDescent="0.2">
      <c r="A115">
        <v>586</v>
      </c>
      <c r="B115">
        <v>309</v>
      </c>
      <c r="C115" t="s">
        <v>5797</v>
      </c>
      <c r="D115" s="39" t="s">
        <v>1936</v>
      </c>
      <c r="E115" s="39" t="s">
        <v>1939</v>
      </c>
      <c r="F115" s="39" t="s">
        <v>35</v>
      </c>
      <c r="G115" s="39" t="s">
        <v>259</v>
      </c>
      <c r="I115" s="39" t="s">
        <v>1940</v>
      </c>
      <c r="J115" s="39" t="s">
        <v>35</v>
      </c>
      <c r="K115" t="s">
        <v>1941</v>
      </c>
      <c r="L115" t="s">
        <v>611</v>
      </c>
      <c r="M115" s="6" t="s">
        <v>3833</v>
      </c>
      <c r="N115" t="s">
        <v>131</v>
      </c>
      <c r="O115" t="s">
        <v>49</v>
      </c>
      <c r="P115" s="35" t="s">
        <v>50</v>
      </c>
      <c r="Q115" t="s">
        <v>44</v>
      </c>
      <c r="R115" t="s">
        <v>857</v>
      </c>
      <c r="S115" s="6" t="s">
        <v>3833</v>
      </c>
      <c r="T115" s="43" t="s">
        <v>213</v>
      </c>
      <c r="U115" s="43" t="s">
        <v>213</v>
      </c>
      <c r="V115" t="s">
        <v>49</v>
      </c>
      <c r="W115" s="57"/>
      <c r="X115" s="57"/>
      <c r="Y115" t="s">
        <v>50</v>
      </c>
      <c r="Z115" s="39"/>
      <c r="AA115" s="39"/>
      <c r="AB115" t="s">
        <v>44</v>
      </c>
      <c r="AC115" s="42">
        <v>44567</v>
      </c>
      <c r="AD115" s="42">
        <v>45299</v>
      </c>
      <c r="AE115" s="53" t="s">
        <v>425</v>
      </c>
      <c r="AF115" s="54" t="s">
        <v>35</v>
      </c>
      <c r="AG115" s="54"/>
      <c r="AH115" s="39" t="s">
        <v>52</v>
      </c>
      <c r="AI115" s="39" t="s">
        <v>70</v>
      </c>
    </row>
    <row r="116" spans="1:35" ht="34" x14ac:dyDescent="0.2">
      <c r="A116">
        <v>244</v>
      </c>
      <c r="B116">
        <v>535</v>
      </c>
      <c r="C116" t="s">
        <v>3907</v>
      </c>
      <c r="D116" s="39" t="s">
        <v>3038</v>
      </c>
      <c r="E116" s="39" t="s">
        <v>1939</v>
      </c>
      <c r="F116" s="39" t="s">
        <v>35</v>
      </c>
      <c r="G116" s="39" t="s">
        <v>82</v>
      </c>
      <c r="I116" s="39" t="s">
        <v>3039</v>
      </c>
      <c r="J116" s="39" t="s">
        <v>35</v>
      </c>
      <c r="K116" t="s">
        <v>3040</v>
      </c>
      <c r="L116" t="s">
        <v>3041</v>
      </c>
      <c r="M116" s="6" t="s">
        <v>3910</v>
      </c>
      <c r="N116" t="s">
        <v>86</v>
      </c>
      <c r="O116" t="s">
        <v>401</v>
      </c>
      <c r="P116" s="35" t="s">
        <v>50</v>
      </c>
      <c r="Q116" t="s">
        <v>62</v>
      </c>
      <c r="R116" t="s">
        <v>3042</v>
      </c>
      <c r="S116" s="6" t="s">
        <v>3911</v>
      </c>
      <c r="T116" s="43" t="s">
        <v>613</v>
      </c>
      <c r="U116" s="43" t="s">
        <v>48</v>
      </c>
      <c r="V116" t="s">
        <v>401</v>
      </c>
      <c r="W116" s="57"/>
      <c r="X116" s="57"/>
      <c r="Y116" t="s">
        <v>50</v>
      </c>
      <c r="Z116" s="39"/>
      <c r="AA116" s="39"/>
      <c r="AB116" t="s">
        <v>200</v>
      </c>
      <c r="AC116" s="42">
        <v>38007</v>
      </c>
      <c r="AD116" s="42">
        <v>38860</v>
      </c>
      <c r="AE116" s="53" t="s">
        <v>403</v>
      </c>
      <c r="AF116" s="54" t="s">
        <v>35</v>
      </c>
      <c r="AG116" s="54"/>
      <c r="AH116" s="39" t="s">
        <v>52</v>
      </c>
      <c r="AI116" s="39" t="s">
        <v>70</v>
      </c>
    </row>
    <row r="117" spans="1:35" ht="17" x14ac:dyDescent="0.2">
      <c r="A117">
        <v>252</v>
      </c>
      <c r="B117">
        <v>103</v>
      </c>
      <c r="C117" t="s">
        <v>3921</v>
      </c>
      <c r="D117" s="39" t="s">
        <v>798</v>
      </c>
      <c r="E117" s="39" t="s">
        <v>799</v>
      </c>
      <c r="F117" s="39" t="s">
        <v>35</v>
      </c>
      <c r="G117" s="39" t="s">
        <v>205</v>
      </c>
      <c r="I117" s="39" t="s">
        <v>800</v>
      </c>
      <c r="J117" s="39" t="s">
        <v>35</v>
      </c>
      <c r="K117" t="s">
        <v>801</v>
      </c>
      <c r="L117" s="49" t="s">
        <v>802</v>
      </c>
      <c r="M117" s="6" t="s">
        <v>5892</v>
      </c>
      <c r="N117" t="s">
        <v>59</v>
      </c>
      <c r="O117" t="s">
        <v>49</v>
      </c>
      <c r="P117" s="35" t="s">
        <v>50</v>
      </c>
      <c r="Q117" t="s">
        <v>115</v>
      </c>
      <c r="R117" t="s">
        <v>803</v>
      </c>
      <c r="S117" s="6" t="s">
        <v>3926</v>
      </c>
      <c r="T117" s="43" t="s">
        <v>804</v>
      </c>
      <c r="U117" s="43" t="s">
        <v>48</v>
      </c>
      <c r="V117" t="s">
        <v>49</v>
      </c>
      <c r="W117" s="57"/>
      <c r="X117" s="57"/>
      <c r="Y117" t="s">
        <v>50</v>
      </c>
      <c r="Z117" s="39"/>
      <c r="AA117" s="39"/>
      <c r="AB117" t="s">
        <v>62</v>
      </c>
      <c r="AC117" s="42">
        <v>38356</v>
      </c>
      <c r="AD117" s="42">
        <v>40179</v>
      </c>
      <c r="AE117" s="53" t="s">
        <v>453</v>
      </c>
      <c r="AF117" s="54" t="s">
        <v>805</v>
      </c>
      <c r="AG117" s="54"/>
      <c r="AH117" s="39" t="s">
        <v>70</v>
      </c>
      <c r="AI117" s="39" t="s">
        <v>52</v>
      </c>
    </row>
    <row r="118" spans="1:35" ht="17" x14ac:dyDescent="0.2">
      <c r="A118">
        <v>295</v>
      </c>
      <c r="B118">
        <v>220</v>
      </c>
      <c r="C118" t="s">
        <v>3912</v>
      </c>
      <c r="D118" s="39" t="s">
        <v>1487</v>
      </c>
      <c r="E118" s="39" t="s">
        <v>799</v>
      </c>
      <c r="F118" s="39" t="s">
        <v>35</v>
      </c>
      <c r="G118" s="39" t="s">
        <v>82</v>
      </c>
      <c r="I118" s="39" t="s">
        <v>1488</v>
      </c>
      <c r="J118" s="39" t="s">
        <v>35</v>
      </c>
      <c r="K118" t="s">
        <v>1489</v>
      </c>
      <c r="L118" t="s">
        <v>1490</v>
      </c>
      <c r="M118" s="6" t="s">
        <v>5893</v>
      </c>
      <c r="N118" t="s">
        <v>59</v>
      </c>
      <c r="O118" t="s">
        <v>401</v>
      </c>
      <c r="P118" s="35" t="s">
        <v>50</v>
      </c>
      <c r="Q118" t="s">
        <v>200</v>
      </c>
      <c r="R118" t="s">
        <v>1491</v>
      </c>
      <c r="S118" s="6" t="s">
        <v>3916</v>
      </c>
      <c r="T118" s="43" t="s">
        <v>114</v>
      </c>
      <c r="U118" s="43" t="s">
        <v>255</v>
      </c>
      <c r="V118" t="s">
        <v>1492</v>
      </c>
      <c r="W118" s="57"/>
      <c r="X118" s="57"/>
      <c r="Y118" t="s">
        <v>1493</v>
      </c>
      <c r="Z118" s="39"/>
      <c r="AA118" s="39"/>
      <c r="AB118" t="s">
        <v>44</v>
      </c>
      <c r="AC118" s="42">
        <v>39098</v>
      </c>
      <c r="AD118" s="42">
        <v>39406</v>
      </c>
      <c r="AE118" s="53" t="s">
        <v>51</v>
      </c>
      <c r="AF118" s="54" t="s">
        <v>35</v>
      </c>
      <c r="AG118" s="54"/>
      <c r="AH118" s="39" t="s">
        <v>52</v>
      </c>
      <c r="AI118" s="39" t="s">
        <v>52</v>
      </c>
    </row>
    <row r="119" spans="1:35" ht="17" x14ac:dyDescent="0.2">
      <c r="A119">
        <v>221</v>
      </c>
      <c r="B119">
        <v>281</v>
      </c>
      <c r="C119" t="s">
        <v>3917</v>
      </c>
      <c r="D119" s="39" t="s">
        <v>1792</v>
      </c>
      <c r="E119" s="39" t="s">
        <v>799</v>
      </c>
      <c r="F119" s="39" t="s">
        <v>35</v>
      </c>
      <c r="G119" s="39" t="s">
        <v>82</v>
      </c>
      <c r="I119" s="39" t="s">
        <v>1793</v>
      </c>
      <c r="J119" s="39" t="s">
        <v>35</v>
      </c>
      <c r="K119" t="s">
        <v>1794</v>
      </c>
      <c r="L119" t="s">
        <v>1795</v>
      </c>
      <c r="M119" s="6" t="s">
        <v>5894</v>
      </c>
      <c r="N119" t="s">
        <v>86</v>
      </c>
      <c r="P119" s="35" t="s">
        <v>50</v>
      </c>
      <c r="Q119" t="s">
        <v>62</v>
      </c>
      <c r="R119" t="s">
        <v>1796</v>
      </c>
      <c r="S119" s="6" t="s">
        <v>6143</v>
      </c>
      <c r="T119" s="43" t="s">
        <v>400</v>
      </c>
      <c r="U119" s="43" t="s">
        <v>35</v>
      </c>
      <c r="V119" t="s">
        <v>1797</v>
      </c>
      <c r="W119" s="57"/>
      <c r="X119" s="57"/>
      <c r="Y119" t="s">
        <v>1798</v>
      </c>
      <c r="Z119" s="39"/>
      <c r="AA119" s="39"/>
      <c r="AB119" t="s">
        <v>62</v>
      </c>
      <c r="AC119" s="42">
        <v>37642</v>
      </c>
      <c r="AD119" s="42">
        <v>38738</v>
      </c>
      <c r="AE119" s="53" t="s">
        <v>51</v>
      </c>
      <c r="AF119" s="54" t="s">
        <v>35</v>
      </c>
      <c r="AG119" s="54"/>
      <c r="AH119" s="39" t="s">
        <v>52</v>
      </c>
      <c r="AI119" s="39" t="s">
        <v>52</v>
      </c>
    </row>
    <row r="120" spans="1:35" ht="17" x14ac:dyDescent="0.2">
      <c r="A120" t="s">
        <v>35</v>
      </c>
      <c r="B120">
        <v>491</v>
      </c>
      <c r="C120" t="s">
        <v>5822</v>
      </c>
      <c r="D120" s="39" t="s">
        <v>2814</v>
      </c>
      <c r="E120" s="39" t="s">
        <v>799</v>
      </c>
      <c r="F120" s="39" t="s">
        <v>349</v>
      </c>
      <c r="G120" s="39" t="s">
        <v>36</v>
      </c>
      <c r="I120" s="39" t="s">
        <v>35</v>
      </c>
      <c r="J120" s="39" t="s">
        <v>2815</v>
      </c>
      <c r="K120" t="s">
        <v>2816</v>
      </c>
      <c r="L120" t="s">
        <v>2817</v>
      </c>
      <c r="M120" s="6" t="s">
        <v>3461</v>
      </c>
      <c r="N120" t="s">
        <v>131</v>
      </c>
      <c r="O120" t="s">
        <v>2818</v>
      </c>
      <c r="P120" s="35" t="s">
        <v>50</v>
      </c>
      <c r="Q120" t="s">
        <v>62</v>
      </c>
      <c r="R120" t="s">
        <v>368</v>
      </c>
      <c r="S120" s="6" t="s">
        <v>51</v>
      </c>
      <c r="T120" s="43" t="s">
        <v>494</v>
      </c>
      <c r="U120" s="43" t="s">
        <v>953</v>
      </c>
      <c r="V120" t="s">
        <v>49</v>
      </c>
      <c r="W120" s="57"/>
      <c r="X120" s="57"/>
      <c r="Y120" t="s">
        <v>50</v>
      </c>
      <c r="Z120" s="39"/>
      <c r="AA120" s="39"/>
      <c r="AB120" t="s">
        <v>62</v>
      </c>
      <c r="AC120" s="42">
        <v>43626</v>
      </c>
      <c r="AD120" s="42">
        <v>44627</v>
      </c>
      <c r="AE120" s="53" t="s">
        <v>425</v>
      </c>
      <c r="AF120" s="54" t="s">
        <v>35</v>
      </c>
      <c r="AG120" s="54"/>
      <c r="AH120" s="39" t="s">
        <v>52</v>
      </c>
      <c r="AI120" s="39" t="s">
        <v>70</v>
      </c>
    </row>
    <row r="121" spans="1:35" ht="17" x14ac:dyDescent="0.2">
      <c r="A121">
        <v>315</v>
      </c>
      <c r="B121">
        <v>79</v>
      </c>
      <c r="C121" t="s">
        <v>3931</v>
      </c>
      <c r="D121" s="39" t="s">
        <v>647</v>
      </c>
      <c r="E121" s="39" t="s">
        <v>648</v>
      </c>
      <c r="F121" s="39" t="s">
        <v>35</v>
      </c>
      <c r="G121" s="39" t="s">
        <v>55</v>
      </c>
      <c r="I121" s="39" t="s">
        <v>35</v>
      </c>
      <c r="J121" s="39" t="s">
        <v>35</v>
      </c>
      <c r="K121" t="s">
        <v>649</v>
      </c>
      <c r="L121" s="49" t="s">
        <v>650</v>
      </c>
      <c r="M121" s="6" t="s">
        <v>153</v>
      </c>
      <c r="N121" t="s">
        <v>86</v>
      </c>
      <c r="O121" t="s">
        <v>42</v>
      </c>
      <c r="P121" s="35" t="s">
        <v>43</v>
      </c>
      <c r="Q121" t="s">
        <v>62</v>
      </c>
      <c r="R121" t="s">
        <v>651</v>
      </c>
      <c r="S121" s="6" t="s">
        <v>3933</v>
      </c>
      <c r="T121" s="43" t="s">
        <v>652</v>
      </c>
      <c r="U121" s="43" t="s">
        <v>653</v>
      </c>
      <c r="W121" s="57"/>
      <c r="X121" s="57"/>
      <c r="Z121" s="39"/>
      <c r="AA121" s="39"/>
      <c r="AB121" t="s">
        <v>35</v>
      </c>
      <c r="AC121" s="42">
        <v>39602</v>
      </c>
      <c r="AD121" s="42">
        <v>40330</v>
      </c>
      <c r="AE121" s="53" t="s">
        <v>290</v>
      </c>
      <c r="AF121" s="54" t="s">
        <v>35</v>
      </c>
      <c r="AG121" s="54"/>
      <c r="AH121" s="39" t="s">
        <v>70</v>
      </c>
      <c r="AI121" s="39" t="s">
        <v>52</v>
      </c>
    </row>
    <row r="122" spans="1:35" ht="17" x14ac:dyDescent="0.2">
      <c r="A122">
        <v>578</v>
      </c>
      <c r="B122">
        <v>359</v>
      </c>
      <c r="C122" t="s">
        <v>5806</v>
      </c>
      <c r="D122" s="39" t="s">
        <v>2198</v>
      </c>
      <c r="E122" s="39" t="s">
        <v>648</v>
      </c>
      <c r="F122" s="39" t="s">
        <v>35</v>
      </c>
      <c r="G122" s="39" t="s">
        <v>259</v>
      </c>
      <c r="I122" s="39" t="s">
        <v>2199</v>
      </c>
      <c r="J122" s="39" t="s">
        <v>35</v>
      </c>
      <c r="K122" t="s">
        <v>2200</v>
      </c>
      <c r="L122" t="s">
        <v>75</v>
      </c>
      <c r="M122" s="6" t="s">
        <v>5895</v>
      </c>
      <c r="N122" t="s">
        <v>131</v>
      </c>
      <c r="O122" t="s">
        <v>621</v>
      </c>
      <c r="P122" s="35" t="s">
        <v>622</v>
      </c>
      <c r="Q122" t="s">
        <v>35</v>
      </c>
      <c r="R122" t="s">
        <v>2201</v>
      </c>
      <c r="S122" s="6" t="s">
        <v>6144</v>
      </c>
      <c r="T122" s="43" t="s">
        <v>246</v>
      </c>
      <c r="U122" s="43" t="s">
        <v>213</v>
      </c>
      <c r="V122" t="s">
        <v>190</v>
      </c>
      <c r="W122" s="57"/>
      <c r="X122" s="57"/>
      <c r="Y122" t="s">
        <v>191</v>
      </c>
      <c r="Z122" s="39"/>
      <c r="AA122" s="39"/>
      <c r="AB122" t="s">
        <v>558</v>
      </c>
      <c r="AC122" s="42">
        <v>44206</v>
      </c>
      <c r="AD122" s="42">
        <v>44936</v>
      </c>
      <c r="AE122" s="53" t="s">
        <v>51</v>
      </c>
      <c r="AF122" s="54" t="s">
        <v>35</v>
      </c>
      <c r="AG122" s="54"/>
      <c r="AH122" s="39" t="s">
        <v>52</v>
      </c>
      <c r="AI122" s="39" t="s">
        <v>52</v>
      </c>
    </row>
    <row r="123" spans="1:35" ht="17" x14ac:dyDescent="0.2">
      <c r="A123">
        <v>397</v>
      </c>
      <c r="B123">
        <v>181</v>
      </c>
      <c r="C123" t="s">
        <v>5784</v>
      </c>
      <c r="D123" s="39" t="s">
        <v>1274</v>
      </c>
      <c r="E123" s="39" t="s">
        <v>1275</v>
      </c>
      <c r="F123" s="39" t="s">
        <v>35</v>
      </c>
      <c r="G123" s="39" t="s">
        <v>160</v>
      </c>
      <c r="I123" s="39" t="s">
        <v>1276</v>
      </c>
      <c r="J123" s="39" t="s">
        <v>35</v>
      </c>
      <c r="K123" t="s">
        <v>1277</v>
      </c>
      <c r="L123" s="49" t="s">
        <v>1278</v>
      </c>
      <c r="M123" s="6" t="s">
        <v>4148</v>
      </c>
      <c r="N123" s="36" t="s">
        <v>86</v>
      </c>
      <c r="O123" t="s">
        <v>49</v>
      </c>
      <c r="P123" s="35" t="s">
        <v>50</v>
      </c>
      <c r="Q123" t="s">
        <v>115</v>
      </c>
      <c r="R123" t="s">
        <v>816</v>
      </c>
      <c r="S123" s="6" t="s">
        <v>3936</v>
      </c>
      <c r="T123" s="43" t="s">
        <v>494</v>
      </c>
      <c r="U123" s="43" t="s">
        <v>1279</v>
      </c>
      <c r="V123" t="s">
        <v>42</v>
      </c>
      <c r="W123" s="57"/>
      <c r="X123" s="57"/>
      <c r="Y123" t="s">
        <v>43</v>
      </c>
      <c r="Z123" s="39"/>
      <c r="AA123" s="39"/>
      <c r="AB123" t="s">
        <v>44</v>
      </c>
      <c r="AC123" s="42">
        <v>42159</v>
      </c>
      <c r="AD123" s="42">
        <v>42506</v>
      </c>
      <c r="AE123" s="53" t="s">
        <v>403</v>
      </c>
      <c r="AF123" s="54" t="s">
        <v>35</v>
      </c>
      <c r="AG123" s="54"/>
      <c r="AH123" s="39" t="s">
        <v>52</v>
      </c>
      <c r="AI123" s="39" t="s">
        <v>70</v>
      </c>
    </row>
    <row r="124" spans="1:35" ht="17" x14ac:dyDescent="0.2">
      <c r="A124">
        <v>35</v>
      </c>
      <c r="B124">
        <v>292</v>
      </c>
      <c r="C124" t="s">
        <v>3939</v>
      </c>
      <c r="D124" s="39" t="s">
        <v>1847</v>
      </c>
      <c r="E124" s="39" t="s">
        <v>1275</v>
      </c>
      <c r="F124" s="39" t="s">
        <v>35</v>
      </c>
      <c r="G124" s="39" t="s">
        <v>139</v>
      </c>
      <c r="I124" s="39" t="s">
        <v>1848</v>
      </c>
      <c r="J124" s="39" t="s">
        <v>35</v>
      </c>
      <c r="K124" t="s">
        <v>1849</v>
      </c>
      <c r="L124" t="s">
        <v>1850</v>
      </c>
      <c r="M124" s="6" t="s">
        <v>5896</v>
      </c>
      <c r="N124" t="s">
        <v>86</v>
      </c>
      <c r="O124" t="s">
        <v>401</v>
      </c>
      <c r="P124" s="35" t="s">
        <v>50</v>
      </c>
      <c r="Q124" t="s">
        <v>115</v>
      </c>
      <c r="R124" t="s">
        <v>1851</v>
      </c>
      <c r="S124" s="6" t="s">
        <v>157</v>
      </c>
      <c r="T124" s="43" t="s">
        <v>224</v>
      </c>
      <c r="U124" s="43" t="s">
        <v>1852</v>
      </c>
      <c r="V124" t="s">
        <v>401</v>
      </c>
      <c r="W124" s="57"/>
      <c r="X124" s="57"/>
      <c r="Y124" t="s">
        <v>50</v>
      </c>
      <c r="Z124" s="39"/>
      <c r="AA124" s="39"/>
      <c r="AB124" t="s">
        <v>44</v>
      </c>
      <c r="AC124" s="42">
        <v>33240</v>
      </c>
      <c r="AD124" s="42">
        <v>33787</v>
      </c>
      <c r="AE124" s="53" t="s">
        <v>51</v>
      </c>
      <c r="AF124" s="54" t="s">
        <v>35</v>
      </c>
      <c r="AG124" s="54"/>
      <c r="AH124" s="39" t="s">
        <v>52</v>
      </c>
      <c r="AI124" s="39" t="s">
        <v>52</v>
      </c>
    </row>
    <row r="125" spans="1:35" ht="34" x14ac:dyDescent="0.2">
      <c r="A125">
        <v>515</v>
      </c>
      <c r="B125">
        <v>410</v>
      </c>
      <c r="C125" t="s">
        <v>3945</v>
      </c>
      <c r="D125" s="39" t="s">
        <v>2453</v>
      </c>
      <c r="E125" s="39" t="s">
        <v>1275</v>
      </c>
      <c r="F125" s="39" t="s">
        <v>35</v>
      </c>
      <c r="G125" s="39" t="s">
        <v>36</v>
      </c>
      <c r="H125" s="34"/>
      <c r="I125" s="39" t="s">
        <v>2454</v>
      </c>
      <c r="J125" s="39" t="s">
        <v>35</v>
      </c>
      <c r="K125" t="s">
        <v>2455</v>
      </c>
      <c r="L125" t="s">
        <v>631</v>
      </c>
      <c r="M125" s="6" t="s">
        <v>3501</v>
      </c>
      <c r="N125" s="37" t="s">
        <v>59</v>
      </c>
      <c r="O125" t="s">
        <v>401</v>
      </c>
      <c r="P125" s="35" t="s">
        <v>50</v>
      </c>
      <c r="Q125" t="s">
        <v>62</v>
      </c>
      <c r="R125" t="s">
        <v>657</v>
      </c>
      <c r="S125" s="6" t="s">
        <v>3947</v>
      </c>
      <c r="T125" s="43" t="s">
        <v>135</v>
      </c>
      <c r="U125" s="43" t="s">
        <v>102</v>
      </c>
      <c r="V125" t="s">
        <v>42</v>
      </c>
      <c r="W125" s="57"/>
      <c r="X125" s="57"/>
      <c r="Y125" t="s">
        <v>43</v>
      </c>
      <c r="Z125" s="39"/>
      <c r="AA125" s="39"/>
      <c r="AB125" t="s">
        <v>44</v>
      </c>
      <c r="AC125" s="42">
        <v>43843</v>
      </c>
      <c r="AE125" s="53" t="s">
        <v>51</v>
      </c>
      <c r="AF125" s="54" t="s">
        <v>35</v>
      </c>
      <c r="AG125" s="54"/>
      <c r="AH125" s="39" t="s">
        <v>52</v>
      </c>
      <c r="AI125" s="39" t="s">
        <v>52</v>
      </c>
    </row>
    <row r="126" spans="1:35" ht="17" x14ac:dyDescent="0.2">
      <c r="A126">
        <v>297</v>
      </c>
      <c r="B126">
        <v>118</v>
      </c>
      <c r="C126" t="s">
        <v>3948</v>
      </c>
      <c r="D126" s="39" t="s">
        <v>903</v>
      </c>
      <c r="E126" s="39" t="s">
        <v>904</v>
      </c>
      <c r="F126" s="39" t="s">
        <v>35</v>
      </c>
      <c r="G126" s="39" t="s">
        <v>55</v>
      </c>
      <c r="I126" s="39" t="s">
        <v>905</v>
      </c>
      <c r="J126" s="39" t="s">
        <v>35</v>
      </c>
      <c r="K126" t="s">
        <v>906</v>
      </c>
      <c r="L126" s="49" t="s">
        <v>907</v>
      </c>
      <c r="M126" s="6" t="s">
        <v>35</v>
      </c>
      <c r="N126" t="s">
        <v>59</v>
      </c>
      <c r="O126" t="s">
        <v>908</v>
      </c>
      <c r="P126" s="35" t="s">
        <v>50</v>
      </c>
      <c r="Q126" t="s">
        <v>35</v>
      </c>
      <c r="R126" t="s">
        <v>909</v>
      </c>
      <c r="S126" s="6" t="s">
        <v>35</v>
      </c>
      <c r="T126" s="43" t="s">
        <v>254</v>
      </c>
      <c r="U126" s="43" t="s">
        <v>494</v>
      </c>
      <c r="V126" t="s">
        <v>910</v>
      </c>
      <c r="W126" s="57"/>
      <c r="X126" s="57"/>
      <c r="Y126" t="s">
        <v>356</v>
      </c>
      <c r="Z126" s="39"/>
      <c r="AA126" s="39"/>
      <c r="AB126" t="s">
        <v>911</v>
      </c>
      <c r="AC126" s="42">
        <v>39238</v>
      </c>
      <c r="AD126" s="42">
        <v>40562</v>
      </c>
      <c r="AE126" s="53" t="s">
        <v>157</v>
      </c>
      <c r="AF126" s="54" t="s">
        <v>35</v>
      </c>
      <c r="AG126" s="54"/>
      <c r="AH126" s="39" t="s">
        <v>70</v>
      </c>
      <c r="AI126" s="39" t="s">
        <v>52</v>
      </c>
    </row>
    <row r="127" spans="1:35" ht="34" x14ac:dyDescent="0.2">
      <c r="A127">
        <v>154</v>
      </c>
      <c r="B127">
        <v>540</v>
      </c>
      <c r="C127" t="s">
        <v>3953</v>
      </c>
      <c r="D127" s="39" t="s">
        <v>3058</v>
      </c>
      <c r="E127" s="39" t="s">
        <v>904</v>
      </c>
      <c r="F127" s="39" t="s">
        <v>35</v>
      </c>
      <c r="G127" s="39" t="s">
        <v>194</v>
      </c>
      <c r="I127" s="39" t="s">
        <v>3059</v>
      </c>
      <c r="J127" s="39" t="s">
        <v>35</v>
      </c>
      <c r="K127" t="s">
        <v>3060</v>
      </c>
      <c r="L127" t="s">
        <v>3061</v>
      </c>
      <c r="M127" s="6" t="s">
        <v>5897</v>
      </c>
      <c r="N127" t="s">
        <v>86</v>
      </c>
      <c r="O127" t="s">
        <v>49</v>
      </c>
      <c r="P127" s="35" t="s">
        <v>50</v>
      </c>
      <c r="Q127" t="s">
        <v>44</v>
      </c>
      <c r="R127" t="s">
        <v>3062</v>
      </c>
      <c r="S127" s="6" t="s">
        <v>3952</v>
      </c>
      <c r="T127" s="43" t="s">
        <v>1106</v>
      </c>
      <c r="U127" s="43" t="s">
        <v>768</v>
      </c>
      <c r="V127" t="s">
        <v>49</v>
      </c>
      <c r="W127" s="57"/>
      <c r="X127" s="57"/>
      <c r="Y127" t="s">
        <v>50</v>
      </c>
      <c r="Z127" s="39"/>
      <c r="AA127" s="39"/>
      <c r="AB127" t="s">
        <v>62</v>
      </c>
      <c r="AC127" s="42">
        <v>36181</v>
      </c>
      <c r="AD127" s="42">
        <v>36567</v>
      </c>
      <c r="AE127" s="53" t="s">
        <v>51</v>
      </c>
      <c r="AF127" s="54" t="s">
        <v>35</v>
      </c>
      <c r="AG127" s="54"/>
      <c r="AH127" s="39" t="s">
        <v>52</v>
      </c>
      <c r="AI127" s="39" t="s">
        <v>52</v>
      </c>
    </row>
    <row r="128" spans="1:35" ht="17" x14ac:dyDescent="0.2">
      <c r="A128">
        <v>357</v>
      </c>
      <c r="B128">
        <v>17</v>
      </c>
      <c r="C128" t="s">
        <v>3972</v>
      </c>
      <c r="D128" s="39" t="s">
        <v>206</v>
      </c>
      <c r="E128" s="39" t="s">
        <v>207</v>
      </c>
      <c r="F128" s="39" t="s">
        <v>35</v>
      </c>
      <c r="G128" s="39" t="s">
        <v>160</v>
      </c>
      <c r="I128" s="39" t="s">
        <v>208</v>
      </c>
      <c r="J128" s="39" t="s">
        <v>35</v>
      </c>
      <c r="K128" t="s">
        <v>209</v>
      </c>
      <c r="L128" t="s">
        <v>210</v>
      </c>
      <c r="M128" s="6" t="s">
        <v>3956</v>
      </c>
      <c r="N128" t="s">
        <v>86</v>
      </c>
      <c r="O128" t="s">
        <v>49</v>
      </c>
      <c r="P128" s="35" t="s">
        <v>50</v>
      </c>
      <c r="Q128" t="s">
        <v>44</v>
      </c>
      <c r="R128" t="s">
        <v>211</v>
      </c>
      <c r="S128" s="6" t="s">
        <v>3958</v>
      </c>
      <c r="T128" s="43" t="s">
        <v>66</v>
      </c>
      <c r="U128" s="43" t="s">
        <v>213</v>
      </c>
      <c r="V128" t="s">
        <v>123</v>
      </c>
      <c r="W128" s="57"/>
      <c r="X128" s="57"/>
      <c r="Y128" t="s">
        <v>99</v>
      </c>
      <c r="Z128" s="39"/>
      <c r="AA128" s="39"/>
      <c r="AB128" t="s">
        <v>44</v>
      </c>
      <c r="AC128" s="42">
        <v>41310</v>
      </c>
      <c r="AD128" s="42">
        <v>42135</v>
      </c>
      <c r="AE128" s="53" t="s">
        <v>68</v>
      </c>
      <c r="AF128" s="54" t="s">
        <v>35</v>
      </c>
      <c r="AG128" s="54"/>
      <c r="AH128" s="39" t="s">
        <v>70</v>
      </c>
      <c r="AI128" s="39" t="s">
        <v>52</v>
      </c>
    </row>
    <row r="129" spans="1:36" ht="17" x14ac:dyDescent="0.2">
      <c r="A129">
        <v>580</v>
      </c>
      <c r="B129">
        <v>36</v>
      </c>
      <c r="C129" t="s">
        <v>5760</v>
      </c>
      <c r="D129" s="39" t="s">
        <v>358</v>
      </c>
      <c r="E129" s="39" t="s">
        <v>359</v>
      </c>
      <c r="F129" s="39" t="s">
        <v>35</v>
      </c>
      <c r="G129" s="39" t="s">
        <v>259</v>
      </c>
      <c r="I129" s="39" t="s">
        <v>360</v>
      </c>
      <c r="J129" s="39" t="s">
        <v>35</v>
      </c>
      <c r="K129" t="s">
        <v>361</v>
      </c>
      <c r="L129" t="s">
        <v>362</v>
      </c>
      <c r="M129" s="6" t="s">
        <v>5898</v>
      </c>
      <c r="N129" t="s">
        <v>131</v>
      </c>
      <c r="O129" t="s">
        <v>49</v>
      </c>
      <c r="P129" s="35" t="s">
        <v>50</v>
      </c>
      <c r="Q129" t="s">
        <v>44</v>
      </c>
      <c r="R129" t="s">
        <v>363</v>
      </c>
      <c r="S129" s="6" t="s">
        <v>212</v>
      </c>
      <c r="T129" s="43" t="s">
        <v>213</v>
      </c>
      <c r="U129" s="43" t="s">
        <v>213</v>
      </c>
      <c r="V129" t="s">
        <v>49</v>
      </c>
      <c r="W129" s="57"/>
      <c r="X129" s="57"/>
      <c r="Y129" t="s">
        <v>50</v>
      </c>
      <c r="Z129" s="39"/>
      <c r="AA129" s="39"/>
      <c r="AB129" t="s">
        <v>44</v>
      </c>
      <c r="AC129" s="42">
        <v>44929</v>
      </c>
      <c r="AD129" s="42">
        <v>45658</v>
      </c>
      <c r="AE129" s="53" t="s">
        <v>290</v>
      </c>
      <c r="AF129" s="54" t="s">
        <v>35</v>
      </c>
      <c r="AG129" s="54"/>
      <c r="AH129" s="39" t="s">
        <v>70</v>
      </c>
      <c r="AI129" s="39" t="s">
        <v>70</v>
      </c>
    </row>
    <row r="130" spans="1:36" ht="34" x14ac:dyDescent="0.2">
      <c r="A130">
        <v>225</v>
      </c>
      <c r="B130">
        <v>98</v>
      </c>
      <c r="C130" t="s">
        <v>3976</v>
      </c>
      <c r="D130" s="39" t="s">
        <v>763</v>
      </c>
      <c r="E130" s="39" t="s">
        <v>359</v>
      </c>
      <c r="F130" s="39" t="s">
        <v>35</v>
      </c>
      <c r="G130" s="39" t="s">
        <v>82</v>
      </c>
      <c r="I130" s="39" t="s">
        <v>764</v>
      </c>
      <c r="J130" s="39" t="s">
        <v>35</v>
      </c>
      <c r="K130" t="s">
        <v>765</v>
      </c>
      <c r="L130" s="49" t="s">
        <v>766</v>
      </c>
      <c r="M130" s="6" t="s">
        <v>5899</v>
      </c>
      <c r="N130" t="s">
        <v>59</v>
      </c>
      <c r="O130" t="s">
        <v>401</v>
      </c>
      <c r="P130" s="35"/>
      <c r="Q130" t="s">
        <v>35</v>
      </c>
      <c r="R130" t="s">
        <v>767</v>
      </c>
      <c r="S130" s="6" t="s">
        <v>6121</v>
      </c>
      <c r="T130" s="43" t="s">
        <v>652</v>
      </c>
      <c r="U130" s="43" t="s">
        <v>768</v>
      </c>
      <c r="W130" s="57"/>
      <c r="X130" s="57"/>
      <c r="Y130" t="s">
        <v>769</v>
      </c>
      <c r="Z130" s="39"/>
      <c r="AA130" s="39"/>
      <c r="AB130" t="s">
        <v>44</v>
      </c>
      <c r="AC130" s="42">
        <v>37797</v>
      </c>
      <c r="AD130" s="42">
        <v>38007</v>
      </c>
      <c r="AE130" s="53" t="s">
        <v>51</v>
      </c>
      <c r="AF130" s="54" t="s">
        <v>35</v>
      </c>
      <c r="AG130" s="54"/>
      <c r="AH130" s="39" t="s">
        <v>52</v>
      </c>
      <c r="AI130" s="39" t="s">
        <v>52</v>
      </c>
    </row>
    <row r="131" spans="1:36" ht="17" x14ac:dyDescent="0.2">
      <c r="A131">
        <v>558</v>
      </c>
      <c r="B131">
        <v>308</v>
      </c>
      <c r="C131" t="s">
        <v>3980</v>
      </c>
      <c r="D131" s="39" t="s">
        <v>1936</v>
      </c>
      <c r="E131" s="39" t="s">
        <v>359</v>
      </c>
      <c r="F131" s="39" t="s">
        <v>35</v>
      </c>
      <c r="G131" s="39" t="s">
        <v>259</v>
      </c>
      <c r="I131" s="39" t="s">
        <v>1937</v>
      </c>
      <c r="J131" s="39" t="s">
        <v>35</v>
      </c>
      <c r="K131" t="s">
        <v>1938</v>
      </c>
      <c r="L131" t="s">
        <v>1876</v>
      </c>
      <c r="M131" s="6" t="s">
        <v>3978</v>
      </c>
      <c r="N131" t="s">
        <v>97</v>
      </c>
      <c r="O131" t="s">
        <v>49</v>
      </c>
      <c r="P131" s="35" t="s">
        <v>50</v>
      </c>
      <c r="Q131" t="s">
        <v>62</v>
      </c>
      <c r="R131" t="s">
        <v>171</v>
      </c>
      <c r="S131" s="6" t="s">
        <v>3978</v>
      </c>
      <c r="T131" s="43" t="s">
        <v>729</v>
      </c>
      <c r="U131" s="43" t="s">
        <v>729</v>
      </c>
      <c r="V131" t="s">
        <v>49</v>
      </c>
      <c r="W131" s="57"/>
      <c r="X131" s="57"/>
      <c r="Y131" t="s">
        <v>50</v>
      </c>
      <c r="Z131" s="39"/>
      <c r="AA131" s="39"/>
      <c r="AB131" t="s">
        <v>62</v>
      </c>
      <c r="AC131" s="42">
        <v>44228</v>
      </c>
      <c r="AD131" s="42">
        <v>44742</v>
      </c>
      <c r="AE131" s="53" t="s">
        <v>51</v>
      </c>
      <c r="AF131" s="54" t="s">
        <v>35</v>
      </c>
      <c r="AG131" s="54"/>
      <c r="AH131" s="39" t="s">
        <v>52</v>
      </c>
      <c r="AI131" s="39" t="s">
        <v>52</v>
      </c>
    </row>
    <row r="132" spans="1:36" ht="17" x14ac:dyDescent="0.2">
      <c r="A132">
        <v>348</v>
      </c>
      <c r="B132">
        <v>349</v>
      </c>
      <c r="C132" t="s">
        <v>3984</v>
      </c>
      <c r="D132" s="39" t="s">
        <v>2142</v>
      </c>
      <c r="E132" s="39" t="s">
        <v>359</v>
      </c>
      <c r="F132" s="39" t="s">
        <v>35</v>
      </c>
      <c r="G132" s="39" t="s">
        <v>55</v>
      </c>
      <c r="I132" s="39" t="s">
        <v>2143</v>
      </c>
      <c r="J132" s="39" t="s">
        <v>35</v>
      </c>
      <c r="K132" t="s">
        <v>2144</v>
      </c>
      <c r="L132" t="s">
        <v>2145</v>
      </c>
      <c r="M132" s="6" t="s">
        <v>3461</v>
      </c>
      <c r="N132" t="s">
        <v>59</v>
      </c>
      <c r="O132" t="s">
        <v>49</v>
      </c>
      <c r="P132" s="35" t="s">
        <v>50</v>
      </c>
      <c r="Q132" t="s">
        <v>35</v>
      </c>
      <c r="R132" t="s">
        <v>58</v>
      </c>
      <c r="S132" s="6" t="s">
        <v>3555</v>
      </c>
      <c r="T132" s="43" t="s">
        <v>410</v>
      </c>
      <c r="U132" s="43" t="s">
        <v>1877</v>
      </c>
      <c r="V132" t="s">
        <v>49</v>
      </c>
      <c r="W132" s="57"/>
      <c r="X132" s="57"/>
      <c r="Y132" t="s">
        <v>50</v>
      </c>
      <c r="Z132" s="39"/>
      <c r="AA132" s="39"/>
      <c r="AB132" t="s">
        <v>62</v>
      </c>
      <c r="AC132" s="42">
        <v>40567</v>
      </c>
      <c r="AD132" s="42">
        <v>42016</v>
      </c>
      <c r="AE132" s="53" t="s">
        <v>116</v>
      </c>
      <c r="AF132" s="54" t="s">
        <v>35</v>
      </c>
      <c r="AG132" s="54"/>
      <c r="AH132" s="39" t="s">
        <v>70</v>
      </c>
      <c r="AI132" s="39" t="s">
        <v>52</v>
      </c>
    </row>
    <row r="133" spans="1:36" ht="17" x14ac:dyDescent="0.2">
      <c r="A133">
        <v>213</v>
      </c>
      <c r="B133">
        <v>376</v>
      </c>
      <c r="C133" t="s">
        <v>3985</v>
      </c>
      <c r="D133" s="39" t="s">
        <v>2279</v>
      </c>
      <c r="E133" s="39" t="s">
        <v>359</v>
      </c>
      <c r="F133" s="39" t="s">
        <v>35</v>
      </c>
      <c r="G133" s="39" t="s">
        <v>82</v>
      </c>
      <c r="I133" s="39" t="s">
        <v>2281</v>
      </c>
      <c r="J133" s="39" t="s">
        <v>35</v>
      </c>
      <c r="K133" t="s">
        <v>2282</v>
      </c>
      <c r="L133" t="s">
        <v>2283</v>
      </c>
      <c r="M133" s="6" t="s">
        <v>5900</v>
      </c>
      <c r="N133" t="s">
        <v>59</v>
      </c>
      <c r="O133" t="s">
        <v>49</v>
      </c>
      <c r="P133" s="35" t="s">
        <v>50</v>
      </c>
      <c r="Q133" t="s">
        <v>44</v>
      </c>
      <c r="R133" t="s">
        <v>2284</v>
      </c>
      <c r="S133" s="6" t="s">
        <v>3501</v>
      </c>
      <c r="T133" s="43" t="s">
        <v>2285</v>
      </c>
      <c r="U133" s="43" t="s">
        <v>2286</v>
      </c>
      <c r="V133" t="s">
        <v>49</v>
      </c>
      <c r="W133" s="57"/>
      <c r="X133" s="57"/>
      <c r="Y133" t="s">
        <v>50</v>
      </c>
      <c r="Z133" s="39"/>
      <c r="AA133" s="39"/>
      <c r="AB133" t="s">
        <v>44</v>
      </c>
      <c r="AC133" s="42">
        <v>37378</v>
      </c>
      <c r="AD133" s="42">
        <v>37649</v>
      </c>
      <c r="AE133" s="53" t="s">
        <v>51</v>
      </c>
      <c r="AF133" s="54" t="s">
        <v>35</v>
      </c>
      <c r="AG133" s="54"/>
      <c r="AH133" s="39" t="s">
        <v>52</v>
      </c>
      <c r="AI133" s="39" t="s">
        <v>52</v>
      </c>
    </row>
    <row r="134" spans="1:36" ht="17" x14ac:dyDescent="0.2">
      <c r="B134">
        <v>411</v>
      </c>
      <c r="C134" t="s">
        <v>5811</v>
      </c>
      <c r="D134" s="39" t="s">
        <v>2456</v>
      </c>
      <c r="E134" s="39" t="s">
        <v>359</v>
      </c>
      <c r="F134" s="39" t="s">
        <v>35</v>
      </c>
      <c r="G134" s="39" t="s">
        <v>259</v>
      </c>
      <c r="I134" s="39" t="s">
        <v>2457</v>
      </c>
      <c r="J134" s="39" t="s">
        <v>35</v>
      </c>
      <c r="K134" t="s">
        <v>2458</v>
      </c>
      <c r="L134" t="s">
        <v>2459</v>
      </c>
      <c r="M134" s="6" t="s">
        <v>3989</v>
      </c>
      <c r="N134" t="s">
        <v>131</v>
      </c>
      <c r="O134" t="s">
        <v>49</v>
      </c>
      <c r="P134" s="35" t="s">
        <v>50</v>
      </c>
      <c r="Q134" t="s">
        <v>811</v>
      </c>
      <c r="R134" t="s">
        <v>2460</v>
      </c>
      <c r="S134" s="6" t="s">
        <v>6145</v>
      </c>
      <c r="T134" s="43" t="s">
        <v>246</v>
      </c>
      <c r="U134" s="43" t="s">
        <v>246</v>
      </c>
      <c r="V134" t="s">
        <v>143</v>
      </c>
      <c r="W134" s="57"/>
      <c r="X134" s="57"/>
      <c r="Y134" t="s">
        <v>50</v>
      </c>
      <c r="Z134" s="39"/>
      <c r="AA134" s="39"/>
      <c r="AB134" t="s">
        <v>76</v>
      </c>
      <c r="AE134" s="53" t="s">
        <v>51</v>
      </c>
      <c r="AF134" s="54" t="s">
        <v>35</v>
      </c>
      <c r="AG134" s="54"/>
      <c r="AH134" s="39" t="s">
        <v>52</v>
      </c>
      <c r="AI134" s="39" t="s">
        <v>52</v>
      </c>
    </row>
    <row r="135" spans="1:36" ht="17" x14ac:dyDescent="0.2">
      <c r="A135">
        <v>101</v>
      </c>
      <c r="B135">
        <v>523</v>
      </c>
      <c r="C135" t="s">
        <v>3991</v>
      </c>
      <c r="D135" s="39" t="s">
        <v>2969</v>
      </c>
      <c r="E135" s="39" t="s">
        <v>359</v>
      </c>
      <c r="F135" s="39" t="s">
        <v>35</v>
      </c>
      <c r="G135" s="39" t="s">
        <v>194</v>
      </c>
      <c r="I135" s="39" t="s">
        <v>2970</v>
      </c>
      <c r="J135" s="39" t="s">
        <v>2971</v>
      </c>
      <c r="K135" t="s">
        <v>2972</v>
      </c>
      <c r="L135" t="s">
        <v>2973</v>
      </c>
      <c r="M135" s="6" t="s">
        <v>5901</v>
      </c>
      <c r="N135" s="38" t="s">
        <v>97</v>
      </c>
      <c r="O135" t="s">
        <v>49</v>
      </c>
      <c r="P135" s="35" t="s">
        <v>50</v>
      </c>
      <c r="Q135" t="s">
        <v>180</v>
      </c>
      <c r="R135" t="s">
        <v>2974</v>
      </c>
      <c r="S135" s="6" t="s">
        <v>6146</v>
      </c>
      <c r="T135" s="43" t="s">
        <v>926</v>
      </c>
      <c r="U135" s="43" t="s">
        <v>254</v>
      </c>
      <c r="V135" t="s">
        <v>2975</v>
      </c>
      <c r="W135" s="57"/>
      <c r="X135" s="57"/>
      <c r="Y135" t="s">
        <v>50</v>
      </c>
      <c r="Z135" s="39"/>
      <c r="AA135" s="39"/>
      <c r="AB135" t="s">
        <v>180</v>
      </c>
      <c r="AC135" s="42">
        <v>34789</v>
      </c>
      <c r="AD135" s="42">
        <v>35185</v>
      </c>
      <c r="AE135" s="53" t="s">
        <v>116</v>
      </c>
      <c r="AF135" s="54" t="s">
        <v>35</v>
      </c>
      <c r="AG135" s="54"/>
      <c r="AH135" s="39" t="s">
        <v>70</v>
      </c>
      <c r="AI135" s="39" t="s">
        <v>52</v>
      </c>
    </row>
    <row r="136" spans="1:36" ht="17" x14ac:dyDescent="0.2">
      <c r="A136">
        <v>133</v>
      </c>
      <c r="B136">
        <v>133</v>
      </c>
      <c r="C136" t="s">
        <v>4003</v>
      </c>
      <c r="D136" s="39" t="s">
        <v>1005</v>
      </c>
      <c r="E136" s="39" t="s">
        <v>1006</v>
      </c>
      <c r="F136" s="39" t="s">
        <v>35</v>
      </c>
      <c r="G136" s="39" t="s">
        <v>205</v>
      </c>
      <c r="I136" s="39" t="s">
        <v>1007</v>
      </c>
      <c r="J136" s="39" t="s">
        <v>1008</v>
      </c>
      <c r="K136" t="s">
        <v>1009</v>
      </c>
      <c r="L136" s="49" t="s">
        <v>1010</v>
      </c>
      <c r="M136" s="6" t="s">
        <v>5902</v>
      </c>
      <c r="N136" s="36" t="s">
        <v>86</v>
      </c>
      <c r="O136" t="s">
        <v>49</v>
      </c>
      <c r="P136" s="35" t="s">
        <v>50</v>
      </c>
      <c r="Q136" t="s">
        <v>44</v>
      </c>
      <c r="R136" t="s">
        <v>631</v>
      </c>
      <c r="S136" s="6" t="s">
        <v>116</v>
      </c>
      <c r="T136" s="43" t="s">
        <v>1011</v>
      </c>
      <c r="U136" s="43" t="s">
        <v>653</v>
      </c>
      <c r="W136" s="57"/>
      <c r="X136" s="57"/>
      <c r="Z136" s="39"/>
      <c r="AA136" s="39"/>
      <c r="AB136" t="s">
        <v>62</v>
      </c>
      <c r="AC136" s="42">
        <v>36121</v>
      </c>
      <c r="AD136" s="42">
        <v>37151</v>
      </c>
      <c r="AE136" s="53" t="s">
        <v>116</v>
      </c>
      <c r="AF136" s="54" t="s">
        <v>35</v>
      </c>
      <c r="AG136" s="54"/>
      <c r="AH136" s="39" t="s">
        <v>70</v>
      </c>
      <c r="AI136" s="39" t="s">
        <v>52</v>
      </c>
    </row>
    <row r="137" spans="1:36" ht="17" x14ac:dyDescent="0.2">
      <c r="A137">
        <v>431</v>
      </c>
      <c r="B137">
        <v>415</v>
      </c>
      <c r="C137" t="s">
        <v>4008</v>
      </c>
      <c r="D137" s="39" t="s">
        <v>2472</v>
      </c>
      <c r="E137" s="39" t="s">
        <v>1006</v>
      </c>
      <c r="F137" s="39" t="s">
        <v>35</v>
      </c>
      <c r="G137" s="39" t="s">
        <v>36</v>
      </c>
      <c r="H137" s="34"/>
      <c r="I137" s="39" t="s">
        <v>2473</v>
      </c>
      <c r="J137" s="39" t="s">
        <v>2474</v>
      </c>
      <c r="K137" t="s">
        <v>2475</v>
      </c>
      <c r="L137" t="s">
        <v>2476</v>
      </c>
      <c r="M137" s="6" t="s">
        <v>4005</v>
      </c>
      <c r="N137" t="s">
        <v>86</v>
      </c>
      <c r="O137" t="s">
        <v>836</v>
      </c>
      <c r="P137" s="35" t="s">
        <v>354</v>
      </c>
      <c r="Q137" t="s">
        <v>62</v>
      </c>
      <c r="R137" t="s">
        <v>2477</v>
      </c>
      <c r="S137" s="6" t="s">
        <v>4006</v>
      </c>
      <c r="T137" s="43" t="s">
        <v>1436</v>
      </c>
      <c r="U137" s="43" t="s">
        <v>936</v>
      </c>
      <c r="V137" t="s">
        <v>2478</v>
      </c>
      <c r="W137" s="57"/>
      <c r="X137" s="57"/>
      <c r="Y137" t="s">
        <v>50</v>
      </c>
      <c r="Z137" s="39"/>
      <c r="AA137" s="39"/>
      <c r="AB137" t="s">
        <v>44</v>
      </c>
      <c r="AC137" s="42">
        <v>42614</v>
      </c>
      <c r="AD137" s="42">
        <v>43003</v>
      </c>
      <c r="AE137" s="53" t="s">
        <v>51</v>
      </c>
      <c r="AF137" s="54" t="s">
        <v>35</v>
      </c>
      <c r="AG137" s="54"/>
      <c r="AH137" s="39" t="s">
        <v>52</v>
      </c>
      <c r="AI137" s="39" t="s">
        <v>52</v>
      </c>
    </row>
    <row r="138" spans="1:36" ht="17" x14ac:dyDescent="0.2">
      <c r="A138">
        <v>117</v>
      </c>
      <c r="B138">
        <v>449</v>
      </c>
      <c r="C138" t="s">
        <v>4014</v>
      </c>
      <c r="D138" s="39" t="s">
        <v>2623</v>
      </c>
      <c r="E138" s="39" t="s">
        <v>2624</v>
      </c>
      <c r="F138" s="39" t="s">
        <v>35</v>
      </c>
      <c r="G138" s="39" t="s">
        <v>205</v>
      </c>
      <c r="H138" s="34"/>
      <c r="I138" s="39" t="s">
        <v>35</v>
      </c>
      <c r="J138" s="39" t="s">
        <v>35</v>
      </c>
      <c r="K138" s="48" t="s">
        <v>703</v>
      </c>
      <c r="M138" s="6" t="s">
        <v>5903</v>
      </c>
      <c r="P138" s="35"/>
      <c r="Q138" t="s">
        <v>35</v>
      </c>
      <c r="S138" s="6" t="s">
        <v>6147</v>
      </c>
      <c r="T138" s="43" t="s">
        <v>35</v>
      </c>
      <c r="U138" s="43" t="s">
        <v>35</v>
      </c>
      <c r="W138" s="57"/>
      <c r="X138" s="57"/>
      <c r="Z138" s="39"/>
      <c r="AA138" s="39"/>
      <c r="AB138" t="s">
        <v>35</v>
      </c>
      <c r="AC138" s="42">
        <v>35488</v>
      </c>
      <c r="AD138" s="42">
        <v>35674</v>
      </c>
      <c r="AE138" s="53" t="s">
        <v>51</v>
      </c>
      <c r="AF138" s="54" t="s">
        <v>35</v>
      </c>
      <c r="AG138" s="54"/>
      <c r="AH138" s="39" t="s">
        <v>52</v>
      </c>
      <c r="AI138" s="39" t="s">
        <v>52</v>
      </c>
    </row>
    <row r="139" spans="1:36" ht="17" x14ac:dyDescent="0.2">
      <c r="A139">
        <v>69</v>
      </c>
      <c r="B139">
        <v>481</v>
      </c>
      <c r="C139" t="s">
        <v>4015</v>
      </c>
      <c r="D139" s="39" t="s">
        <v>2769</v>
      </c>
      <c r="E139" s="39" t="s">
        <v>2770</v>
      </c>
      <c r="F139" s="39" t="s">
        <v>35</v>
      </c>
      <c r="G139" s="39" t="s">
        <v>194</v>
      </c>
      <c r="H139" s="34"/>
      <c r="I139" s="39" t="s">
        <v>35</v>
      </c>
      <c r="J139" s="39" t="s">
        <v>35</v>
      </c>
      <c r="K139" t="s">
        <v>35</v>
      </c>
      <c r="M139" s="6" t="s">
        <v>35</v>
      </c>
      <c r="P139" s="35"/>
      <c r="Q139" t="s">
        <v>35</v>
      </c>
      <c r="S139" s="6" t="s">
        <v>35</v>
      </c>
      <c r="T139" s="43" t="s">
        <v>35</v>
      </c>
      <c r="U139" s="43" t="s">
        <v>35</v>
      </c>
      <c r="W139" s="57"/>
      <c r="X139" s="57"/>
      <c r="Z139" s="39"/>
      <c r="AA139" s="39"/>
      <c r="AB139" t="s">
        <v>35</v>
      </c>
      <c r="AC139" s="42">
        <v>33419</v>
      </c>
      <c r="AD139" s="42">
        <v>34233</v>
      </c>
      <c r="AE139" s="53" t="s">
        <v>51</v>
      </c>
      <c r="AF139" s="54" t="s">
        <v>35</v>
      </c>
      <c r="AG139" s="54"/>
      <c r="AH139" s="39" t="s">
        <v>52</v>
      </c>
      <c r="AI139" s="39" t="s">
        <v>52</v>
      </c>
    </row>
    <row r="140" spans="1:36" ht="17" x14ac:dyDescent="0.2">
      <c r="A140">
        <v>489</v>
      </c>
      <c r="B140">
        <v>105</v>
      </c>
      <c r="C140" t="s">
        <v>4016</v>
      </c>
      <c r="D140" s="39" t="s">
        <v>812</v>
      </c>
      <c r="E140" s="39" t="s">
        <v>813</v>
      </c>
      <c r="F140" s="39" t="s">
        <v>35</v>
      </c>
      <c r="G140" s="39" t="s">
        <v>36</v>
      </c>
      <c r="I140" s="39" t="s">
        <v>814</v>
      </c>
      <c r="J140" s="39" t="s">
        <v>35</v>
      </c>
      <c r="K140" t="s">
        <v>815</v>
      </c>
      <c r="L140" s="49" t="s">
        <v>39</v>
      </c>
      <c r="M140" s="6" t="s">
        <v>35</v>
      </c>
      <c r="N140" t="s">
        <v>59</v>
      </c>
      <c r="O140" t="s">
        <v>42</v>
      </c>
      <c r="P140" s="35" t="s">
        <v>43</v>
      </c>
      <c r="Q140" t="s">
        <v>44</v>
      </c>
      <c r="R140" t="s">
        <v>816</v>
      </c>
      <c r="S140" s="6" t="s">
        <v>35</v>
      </c>
      <c r="T140" s="43" t="s">
        <v>817</v>
      </c>
      <c r="U140" s="43" t="s">
        <v>818</v>
      </c>
      <c r="V140" t="s">
        <v>49</v>
      </c>
      <c r="W140" s="57"/>
      <c r="X140" s="57"/>
      <c r="Y140" t="s">
        <v>50</v>
      </c>
      <c r="Z140" s="39"/>
      <c r="AA140" s="39"/>
      <c r="AB140" t="s">
        <v>44</v>
      </c>
      <c r="AC140" s="42">
        <v>43738</v>
      </c>
      <c r="AD140" s="42">
        <v>44377</v>
      </c>
      <c r="AE140" s="53" t="s">
        <v>730</v>
      </c>
      <c r="AF140" s="54" t="s">
        <v>35</v>
      </c>
      <c r="AG140" s="54"/>
      <c r="AH140" s="39" t="s">
        <v>52</v>
      </c>
      <c r="AI140" s="39" t="s">
        <v>70</v>
      </c>
    </row>
    <row r="141" spans="1:36" ht="34" x14ac:dyDescent="0.2">
      <c r="A141">
        <v>193</v>
      </c>
      <c r="B141">
        <v>178</v>
      </c>
      <c r="C141" t="s">
        <v>4020</v>
      </c>
      <c r="D141" s="39" t="s">
        <v>1254</v>
      </c>
      <c r="E141" s="39" t="s">
        <v>1255</v>
      </c>
      <c r="F141" s="39" t="s">
        <v>35</v>
      </c>
      <c r="G141" s="39" t="s">
        <v>82</v>
      </c>
      <c r="H141" s="34"/>
      <c r="I141" s="39" t="s">
        <v>1256</v>
      </c>
      <c r="J141" s="39" t="s">
        <v>35</v>
      </c>
      <c r="K141" t="s">
        <v>1257</v>
      </c>
      <c r="L141" s="49" t="s">
        <v>1258</v>
      </c>
      <c r="M141" s="6" t="s">
        <v>5904</v>
      </c>
      <c r="N141" t="s">
        <v>86</v>
      </c>
      <c r="O141" t="s">
        <v>49</v>
      </c>
      <c r="P141" s="35" t="s">
        <v>50</v>
      </c>
      <c r="Q141" t="s">
        <v>115</v>
      </c>
      <c r="R141" t="s">
        <v>1259</v>
      </c>
      <c r="S141" s="6" t="s">
        <v>4019</v>
      </c>
      <c r="T141" s="43" t="s">
        <v>102</v>
      </c>
      <c r="U141" s="43" t="s">
        <v>324</v>
      </c>
      <c r="V141" t="s">
        <v>1260</v>
      </c>
      <c r="W141" s="57"/>
      <c r="X141" s="57"/>
      <c r="Y141" t="s">
        <v>1261</v>
      </c>
      <c r="Z141" s="39"/>
      <c r="AA141" s="39"/>
      <c r="AB141" t="s">
        <v>44</v>
      </c>
      <c r="AC141" s="42">
        <v>37025</v>
      </c>
      <c r="AD141" s="42">
        <v>37166</v>
      </c>
      <c r="AE141" s="53" t="s">
        <v>51</v>
      </c>
      <c r="AF141" s="54" t="s">
        <v>35</v>
      </c>
      <c r="AG141" s="54"/>
      <c r="AH141" s="39" t="s">
        <v>52</v>
      </c>
      <c r="AI141" s="39" t="s">
        <v>52</v>
      </c>
    </row>
    <row r="142" spans="1:36" ht="17" x14ac:dyDescent="0.2">
      <c r="A142">
        <v>396</v>
      </c>
      <c r="B142">
        <v>254</v>
      </c>
      <c r="C142" t="s">
        <v>4025</v>
      </c>
      <c r="D142" s="39" t="s">
        <v>1679</v>
      </c>
      <c r="E142" s="39" t="s">
        <v>1255</v>
      </c>
      <c r="F142" s="39" t="s">
        <v>35</v>
      </c>
      <c r="G142" s="39" t="s">
        <v>160</v>
      </c>
      <c r="I142" s="39" t="s">
        <v>1680</v>
      </c>
      <c r="J142" s="39" t="s">
        <v>35</v>
      </c>
      <c r="K142" t="s">
        <v>1681</v>
      </c>
      <c r="L142" t="s">
        <v>424</v>
      </c>
      <c r="M142" s="6" t="s">
        <v>5905</v>
      </c>
      <c r="N142" t="s">
        <v>131</v>
      </c>
      <c r="O142" t="s">
        <v>49</v>
      </c>
      <c r="P142" s="35" t="s">
        <v>50</v>
      </c>
      <c r="Q142" t="s">
        <v>100</v>
      </c>
      <c r="R142" t="s">
        <v>58</v>
      </c>
      <c r="S142" s="6" t="s">
        <v>6148</v>
      </c>
      <c r="T142" s="43" t="s">
        <v>1245</v>
      </c>
      <c r="U142" s="43" t="s">
        <v>755</v>
      </c>
      <c r="V142" t="s">
        <v>49</v>
      </c>
      <c r="W142" s="57"/>
      <c r="X142" s="57"/>
      <c r="Y142" t="s">
        <v>50</v>
      </c>
      <c r="Z142" s="39"/>
      <c r="AA142" s="39"/>
      <c r="AB142" t="s">
        <v>62</v>
      </c>
      <c r="AC142" s="42">
        <v>42159</v>
      </c>
      <c r="AD142" s="42">
        <v>42317</v>
      </c>
      <c r="AE142" s="53" t="s">
        <v>1477</v>
      </c>
      <c r="AF142" s="54" t="s">
        <v>35</v>
      </c>
      <c r="AG142" s="54"/>
      <c r="AH142" s="39" t="s">
        <v>52</v>
      </c>
      <c r="AI142" s="39" t="s">
        <v>70</v>
      </c>
    </row>
    <row r="143" spans="1:36" ht="17" x14ac:dyDescent="0.2">
      <c r="A143">
        <v>459</v>
      </c>
      <c r="B143">
        <v>144</v>
      </c>
      <c r="C143" t="s">
        <v>4027</v>
      </c>
      <c r="D143" s="39" t="s">
        <v>1068</v>
      </c>
      <c r="E143" s="39" t="s">
        <v>1069</v>
      </c>
      <c r="F143" s="39" t="s">
        <v>35</v>
      </c>
      <c r="G143" s="39" t="s">
        <v>36</v>
      </c>
      <c r="I143" s="39" t="s">
        <v>1070</v>
      </c>
      <c r="J143" s="39" t="s">
        <v>35</v>
      </c>
      <c r="K143" t="s">
        <v>1071</v>
      </c>
      <c r="L143" s="49" t="s">
        <v>75</v>
      </c>
      <c r="M143" s="6" t="s">
        <v>3739</v>
      </c>
      <c r="N143" t="s">
        <v>59</v>
      </c>
      <c r="O143" t="s">
        <v>572</v>
      </c>
      <c r="P143" s="35" t="s">
        <v>566</v>
      </c>
      <c r="Q143" t="s">
        <v>76</v>
      </c>
      <c r="R143" t="s">
        <v>75</v>
      </c>
      <c r="S143" s="6" t="s">
        <v>3704</v>
      </c>
      <c r="T143" s="43" t="s">
        <v>125</v>
      </c>
      <c r="U143" s="43" t="s">
        <v>126</v>
      </c>
      <c r="V143" t="s">
        <v>621</v>
      </c>
      <c r="W143" s="57"/>
      <c r="X143" s="57"/>
      <c r="Y143" t="s">
        <v>622</v>
      </c>
      <c r="Z143" s="39"/>
      <c r="AA143" s="39"/>
      <c r="AB143" t="s">
        <v>76</v>
      </c>
      <c r="AC143" s="42">
        <v>43115</v>
      </c>
      <c r="AD143" s="42">
        <v>43626</v>
      </c>
      <c r="AE143" s="53" t="s">
        <v>51</v>
      </c>
      <c r="AF143" s="54" t="s">
        <v>35</v>
      </c>
      <c r="AG143" s="54"/>
      <c r="AH143" s="39" t="s">
        <v>52</v>
      </c>
      <c r="AI143" s="39" t="s">
        <v>52</v>
      </c>
    </row>
    <row r="144" spans="1:36" ht="17" x14ac:dyDescent="0.2">
      <c r="A144">
        <v>260</v>
      </c>
      <c r="B144">
        <v>559</v>
      </c>
      <c r="C144" t="s">
        <v>4033</v>
      </c>
      <c r="D144" s="39" t="s">
        <v>3157</v>
      </c>
      <c r="E144" s="39" t="s">
        <v>1069</v>
      </c>
      <c r="F144" s="39" t="s">
        <v>35</v>
      </c>
      <c r="G144" s="39" t="s">
        <v>82</v>
      </c>
      <c r="I144" s="39" t="s">
        <v>3158</v>
      </c>
      <c r="J144" s="39" t="s">
        <v>3159</v>
      </c>
      <c r="K144" t="s">
        <v>3160</v>
      </c>
      <c r="L144" t="s">
        <v>3161</v>
      </c>
      <c r="M144" s="6" t="s">
        <v>4157</v>
      </c>
      <c r="N144" t="s">
        <v>59</v>
      </c>
      <c r="O144" t="s">
        <v>401</v>
      </c>
      <c r="P144" s="35" t="s">
        <v>50</v>
      </c>
      <c r="Q144" t="s">
        <v>100</v>
      </c>
      <c r="R144" t="s">
        <v>3162</v>
      </c>
      <c r="S144" s="6" t="s">
        <v>3611</v>
      </c>
      <c r="T144" s="43" t="s">
        <v>307</v>
      </c>
      <c r="U144" s="43" t="s">
        <v>308</v>
      </c>
      <c r="V144" t="s">
        <v>3163</v>
      </c>
      <c r="W144" s="57"/>
      <c r="X144" s="57"/>
      <c r="Y144" t="s">
        <v>50</v>
      </c>
      <c r="Z144" s="39"/>
      <c r="AA144" s="39"/>
      <c r="AB144" t="s">
        <v>100</v>
      </c>
      <c r="AC144" s="42">
        <v>38475</v>
      </c>
      <c r="AD144" s="42">
        <v>38860</v>
      </c>
      <c r="AE144" s="53" t="s">
        <v>51</v>
      </c>
      <c r="AF144" s="54" t="s">
        <v>35</v>
      </c>
      <c r="AG144" s="54"/>
      <c r="AH144" s="39" t="s">
        <v>52</v>
      </c>
      <c r="AI144" s="39" t="s">
        <v>52</v>
      </c>
      <c r="AJ144" s="1"/>
    </row>
    <row r="145" spans="1:35" ht="17" x14ac:dyDescent="0.2">
      <c r="A145">
        <v>229</v>
      </c>
      <c r="B145">
        <v>574</v>
      </c>
      <c r="C145" t="s">
        <v>4037</v>
      </c>
      <c r="D145" s="39" t="s">
        <v>3228</v>
      </c>
      <c r="E145" s="39" t="s">
        <v>1069</v>
      </c>
      <c r="F145" s="39" t="s">
        <v>35</v>
      </c>
      <c r="G145" s="39" t="s">
        <v>82</v>
      </c>
      <c r="H145" s="34"/>
      <c r="I145" s="39" t="s">
        <v>35</v>
      </c>
      <c r="J145" s="39" t="s">
        <v>35</v>
      </c>
      <c r="K145" t="s">
        <v>35</v>
      </c>
      <c r="M145" s="6" t="s">
        <v>3688</v>
      </c>
      <c r="P145" s="35"/>
      <c r="Q145" t="s">
        <v>35</v>
      </c>
      <c r="S145" s="6" t="s">
        <v>4036</v>
      </c>
      <c r="T145" s="43" t="s">
        <v>35</v>
      </c>
      <c r="U145" s="43" t="s">
        <v>35</v>
      </c>
      <c r="W145" s="57"/>
      <c r="X145" s="57"/>
      <c r="Z145" s="39"/>
      <c r="AA145" s="39"/>
      <c r="AB145" t="s">
        <v>35</v>
      </c>
      <c r="AC145" s="42">
        <v>37797</v>
      </c>
      <c r="AD145" s="42">
        <v>38007</v>
      </c>
      <c r="AE145" s="53" t="s">
        <v>51</v>
      </c>
      <c r="AF145" s="54" t="s">
        <v>35</v>
      </c>
      <c r="AG145" s="54"/>
      <c r="AH145" s="39" t="s">
        <v>52</v>
      </c>
      <c r="AI145" s="39" t="s">
        <v>52</v>
      </c>
    </row>
    <row r="146" spans="1:35" ht="17" x14ac:dyDescent="0.2">
      <c r="A146" t="s">
        <v>35</v>
      </c>
      <c r="B146">
        <v>344</v>
      </c>
      <c r="C146" t="s">
        <v>4043</v>
      </c>
      <c r="D146" s="39" t="s">
        <v>2117</v>
      </c>
      <c r="E146" s="39" t="s">
        <v>2118</v>
      </c>
      <c r="F146" s="39" t="s">
        <v>35</v>
      </c>
      <c r="G146" s="39" t="s">
        <v>36</v>
      </c>
      <c r="I146" s="39" t="s">
        <v>2119</v>
      </c>
      <c r="J146" s="39" t="s">
        <v>35</v>
      </c>
      <c r="K146" t="s">
        <v>2120</v>
      </c>
      <c r="L146" t="s">
        <v>1161</v>
      </c>
      <c r="M146" s="6" t="s">
        <v>35</v>
      </c>
      <c r="N146" t="s">
        <v>97</v>
      </c>
      <c r="O146" t="s">
        <v>1151</v>
      </c>
      <c r="P146" s="35" t="s">
        <v>640</v>
      </c>
      <c r="Q146" t="s">
        <v>44</v>
      </c>
      <c r="R146" t="s">
        <v>171</v>
      </c>
      <c r="S146" s="6" t="s">
        <v>35</v>
      </c>
      <c r="T146" s="43" t="s">
        <v>494</v>
      </c>
      <c r="U146" s="43" t="s">
        <v>224</v>
      </c>
      <c r="V146" t="s">
        <v>621</v>
      </c>
      <c r="W146" s="57"/>
      <c r="X146" s="57"/>
      <c r="Y146" t="s">
        <v>622</v>
      </c>
      <c r="Z146" s="39"/>
      <c r="AA146" s="39"/>
      <c r="AB146" t="s">
        <v>62</v>
      </c>
      <c r="AC146" s="42">
        <v>43831</v>
      </c>
      <c r="AD146" s="42">
        <v>44197</v>
      </c>
      <c r="AE146" s="53" t="s">
        <v>51</v>
      </c>
      <c r="AF146" s="54" t="s">
        <v>35</v>
      </c>
      <c r="AG146" s="54"/>
      <c r="AH146" s="39" t="s">
        <v>52</v>
      </c>
      <c r="AI146" s="39" t="s">
        <v>52</v>
      </c>
    </row>
    <row r="147" spans="1:35" ht="17" x14ac:dyDescent="0.2">
      <c r="A147">
        <v>285</v>
      </c>
      <c r="B147">
        <v>455</v>
      </c>
      <c r="C147" t="s">
        <v>4048</v>
      </c>
      <c r="D147" s="39" t="s">
        <v>2649</v>
      </c>
      <c r="E147" s="39" t="s">
        <v>2118</v>
      </c>
      <c r="F147" s="39" t="s">
        <v>35</v>
      </c>
      <c r="G147" s="39" t="s">
        <v>55</v>
      </c>
      <c r="H147" s="34"/>
      <c r="I147" s="39" t="s">
        <v>2650</v>
      </c>
      <c r="J147" s="39" t="s">
        <v>35</v>
      </c>
      <c r="K147" t="s">
        <v>35</v>
      </c>
      <c r="M147" s="6" t="s">
        <v>4204</v>
      </c>
      <c r="P147" s="35"/>
      <c r="Q147" t="s">
        <v>35</v>
      </c>
      <c r="S147" s="6" t="s">
        <v>4047</v>
      </c>
      <c r="T147" s="43" t="s">
        <v>35</v>
      </c>
      <c r="U147" s="43" t="s">
        <v>35</v>
      </c>
      <c r="W147" s="57"/>
      <c r="X147" s="57"/>
      <c r="Z147" s="39"/>
      <c r="AA147" s="39"/>
      <c r="AB147" t="s">
        <v>35</v>
      </c>
      <c r="AC147" s="42">
        <v>38860</v>
      </c>
      <c r="AD147" s="42">
        <v>39406</v>
      </c>
      <c r="AE147" s="53" t="s">
        <v>51</v>
      </c>
      <c r="AF147" s="54" t="s">
        <v>35</v>
      </c>
      <c r="AG147" s="54"/>
      <c r="AH147" s="39" t="s">
        <v>52</v>
      </c>
      <c r="AI147" s="39" t="s">
        <v>52</v>
      </c>
    </row>
    <row r="148" spans="1:35" ht="17" x14ac:dyDescent="0.2">
      <c r="A148">
        <v>199</v>
      </c>
      <c r="B148">
        <v>196</v>
      </c>
      <c r="C148" t="s">
        <v>4050</v>
      </c>
      <c r="D148" s="39" t="s">
        <v>1353</v>
      </c>
      <c r="E148" s="39" t="s">
        <v>1354</v>
      </c>
      <c r="F148" s="39" t="s">
        <v>35</v>
      </c>
      <c r="G148" s="39" t="s">
        <v>82</v>
      </c>
      <c r="H148" s="34"/>
      <c r="I148" s="39" t="s">
        <v>1355</v>
      </c>
      <c r="J148" s="39" t="s">
        <v>35</v>
      </c>
      <c r="L148" t="s">
        <v>35</v>
      </c>
      <c r="M148" s="6" t="s">
        <v>35</v>
      </c>
      <c r="P148" s="35"/>
      <c r="Q148" t="s">
        <v>35</v>
      </c>
      <c r="S148" s="6" t="s">
        <v>35</v>
      </c>
      <c r="T148" s="43" t="s">
        <v>35</v>
      </c>
      <c r="U148" s="43" t="s">
        <v>35</v>
      </c>
      <c r="W148" s="57"/>
      <c r="X148" s="57"/>
      <c r="Z148" s="39"/>
      <c r="AA148" s="39"/>
      <c r="AB148" t="s">
        <v>35</v>
      </c>
      <c r="AC148" s="42">
        <v>37278</v>
      </c>
      <c r="AD148" s="42">
        <v>38007</v>
      </c>
      <c r="AE148" s="53" t="s">
        <v>68</v>
      </c>
      <c r="AF148" s="54" t="s">
        <v>35</v>
      </c>
      <c r="AG148" s="54"/>
      <c r="AH148" s="39" t="s">
        <v>70</v>
      </c>
      <c r="AI148" s="39" t="s">
        <v>52</v>
      </c>
    </row>
    <row r="149" spans="1:35" ht="17" x14ac:dyDescent="0.2">
      <c r="A149">
        <v>220</v>
      </c>
      <c r="B149">
        <v>236</v>
      </c>
      <c r="C149" t="s">
        <v>4056</v>
      </c>
      <c r="D149" s="39" t="s">
        <v>1578</v>
      </c>
      <c r="E149" s="39" t="s">
        <v>1579</v>
      </c>
      <c r="F149" s="39" t="s">
        <v>35</v>
      </c>
      <c r="G149" s="39" t="s">
        <v>82</v>
      </c>
      <c r="I149" s="39" t="s">
        <v>1580</v>
      </c>
      <c r="J149" s="39" t="s">
        <v>35</v>
      </c>
      <c r="K149" t="s">
        <v>1581</v>
      </c>
      <c r="L149" t="s">
        <v>1582</v>
      </c>
      <c r="M149" s="6" t="s">
        <v>35</v>
      </c>
      <c r="N149" t="s">
        <v>41</v>
      </c>
      <c r="O149" t="s">
        <v>353</v>
      </c>
      <c r="P149" s="35" t="s">
        <v>356</v>
      </c>
      <c r="Q149" t="s">
        <v>479</v>
      </c>
      <c r="R149" t="s">
        <v>1583</v>
      </c>
      <c r="S149" s="6" t="s">
        <v>35</v>
      </c>
      <c r="T149" s="43" t="s">
        <v>1204</v>
      </c>
      <c r="U149" s="43" t="s">
        <v>1132</v>
      </c>
      <c r="V149" t="s">
        <v>353</v>
      </c>
      <c r="W149" s="57"/>
      <c r="X149" s="57"/>
      <c r="Y149" t="s">
        <v>356</v>
      </c>
      <c r="Z149" s="39"/>
      <c r="AA149" s="39"/>
      <c r="AB149" t="s">
        <v>479</v>
      </c>
      <c r="AC149" s="42">
        <v>37642</v>
      </c>
      <c r="AD149" s="42">
        <v>38860</v>
      </c>
      <c r="AE149" s="53" t="s">
        <v>51</v>
      </c>
      <c r="AF149" s="54" t="s">
        <v>35</v>
      </c>
      <c r="AG149" s="54"/>
      <c r="AH149" s="39" t="s">
        <v>52</v>
      </c>
      <c r="AI149" s="39" t="s">
        <v>52</v>
      </c>
    </row>
    <row r="150" spans="1:35" ht="34" x14ac:dyDescent="0.2">
      <c r="A150" t="s">
        <v>35</v>
      </c>
      <c r="B150">
        <v>325</v>
      </c>
      <c r="C150" t="s">
        <v>5801</v>
      </c>
      <c r="D150" s="39" t="s">
        <v>2023</v>
      </c>
      <c r="E150" s="39" t="s">
        <v>2024</v>
      </c>
      <c r="F150" s="39" t="s">
        <v>35</v>
      </c>
      <c r="G150" s="39" t="s">
        <v>205</v>
      </c>
      <c r="I150" s="39" t="s">
        <v>2025</v>
      </c>
      <c r="J150" s="39" t="s">
        <v>2026</v>
      </c>
      <c r="K150" t="s">
        <v>2027</v>
      </c>
      <c r="L150" t="s">
        <v>2028</v>
      </c>
      <c r="M150" s="6" t="s">
        <v>5906</v>
      </c>
      <c r="N150" t="s">
        <v>86</v>
      </c>
      <c r="O150" t="s">
        <v>2029</v>
      </c>
      <c r="P150" s="35" t="s">
        <v>354</v>
      </c>
      <c r="Q150" t="s">
        <v>1627</v>
      </c>
      <c r="R150" t="s">
        <v>2030</v>
      </c>
      <c r="S150" s="6" t="s">
        <v>4058</v>
      </c>
      <c r="T150" s="43" t="s">
        <v>308</v>
      </c>
      <c r="U150" s="43" t="s">
        <v>625</v>
      </c>
      <c r="V150" t="s">
        <v>836</v>
      </c>
      <c r="W150" s="57"/>
      <c r="X150" s="57"/>
      <c r="Y150" t="s">
        <v>356</v>
      </c>
      <c r="Z150" s="39"/>
      <c r="AA150" s="39"/>
      <c r="AB150" t="s">
        <v>911</v>
      </c>
      <c r="AC150" s="42">
        <v>36280</v>
      </c>
      <c r="AD150" s="42">
        <v>37298</v>
      </c>
      <c r="AE150" s="53" t="s">
        <v>116</v>
      </c>
      <c r="AF150" s="54" t="s">
        <v>35</v>
      </c>
      <c r="AG150" s="54"/>
      <c r="AH150" s="39" t="s">
        <v>70</v>
      </c>
      <c r="AI150" s="39" t="s">
        <v>52</v>
      </c>
    </row>
    <row r="151" spans="1:35" ht="17" x14ac:dyDescent="0.2">
      <c r="A151">
        <v>128</v>
      </c>
      <c r="B151">
        <v>409</v>
      </c>
      <c r="C151" t="s">
        <v>4068</v>
      </c>
      <c r="D151" s="39" t="s">
        <v>2450</v>
      </c>
      <c r="E151" s="39" t="s">
        <v>2024</v>
      </c>
      <c r="F151" s="39" t="s">
        <v>35</v>
      </c>
      <c r="G151" s="39" t="s">
        <v>205</v>
      </c>
      <c r="H151" s="34"/>
      <c r="I151" s="39" t="s">
        <v>2451</v>
      </c>
      <c r="J151" s="39" t="s">
        <v>35</v>
      </c>
      <c r="K151" t="s">
        <v>2452</v>
      </c>
      <c r="L151" t="s">
        <v>2130</v>
      </c>
      <c r="M151" s="6" t="s">
        <v>4065</v>
      </c>
      <c r="N151" t="s">
        <v>59</v>
      </c>
      <c r="O151" t="s">
        <v>1710</v>
      </c>
      <c r="P151" s="35" t="s">
        <v>50</v>
      </c>
      <c r="Q151" t="s">
        <v>44</v>
      </c>
      <c r="S151" s="6" t="s">
        <v>6149</v>
      </c>
      <c r="T151" s="43" t="s">
        <v>35</v>
      </c>
      <c r="U151" s="43" t="s">
        <v>35</v>
      </c>
      <c r="W151" s="57"/>
      <c r="X151" s="57"/>
      <c r="Z151" s="39"/>
      <c r="AA151" s="39"/>
      <c r="AB151" t="s">
        <v>35</v>
      </c>
      <c r="AC151" s="42">
        <v>35831</v>
      </c>
      <c r="AD151" s="42">
        <v>37298</v>
      </c>
      <c r="AE151" s="53" t="s">
        <v>68</v>
      </c>
      <c r="AF151" s="54" t="s">
        <v>35</v>
      </c>
      <c r="AG151" s="54"/>
      <c r="AH151" s="39" t="s">
        <v>70</v>
      </c>
      <c r="AI151" s="39" t="s">
        <v>52</v>
      </c>
    </row>
    <row r="152" spans="1:35" ht="17" x14ac:dyDescent="0.2">
      <c r="A152">
        <v>197</v>
      </c>
      <c r="B152">
        <v>31</v>
      </c>
      <c r="C152" t="s">
        <v>4070</v>
      </c>
      <c r="D152" s="39" t="s">
        <v>318</v>
      </c>
      <c r="E152" s="39" t="s">
        <v>319</v>
      </c>
      <c r="F152" s="39" t="s">
        <v>35</v>
      </c>
      <c r="G152" s="39" t="s">
        <v>82</v>
      </c>
      <c r="I152" s="39" t="s">
        <v>320</v>
      </c>
      <c r="J152" s="39" t="s">
        <v>35</v>
      </c>
      <c r="K152" t="s">
        <v>321</v>
      </c>
      <c r="L152" t="s">
        <v>322</v>
      </c>
      <c r="M152" s="6" t="s">
        <v>5907</v>
      </c>
      <c r="N152" t="s">
        <v>59</v>
      </c>
      <c r="O152" t="s">
        <v>49</v>
      </c>
      <c r="P152" s="35" t="s">
        <v>50</v>
      </c>
      <c r="Q152" t="s">
        <v>44</v>
      </c>
      <c r="R152" t="s">
        <v>323</v>
      </c>
      <c r="S152" s="6" t="s">
        <v>35</v>
      </c>
      <c r="T152" s="43" t="s">
        <v>308</v>
      </c>
      <c r="U152" s="43" t="s">
        <v>324</v>
      </c>
      <c r="V152" t="s">
        <v>49</v>
      </c>
      <c r="W152" s="57"/>
      <c r="X152" s="57"/>
      <c r="Y152" t="s">
        <v>50</v>
      </c>
      <c r="Z152" s="39"/>
      <c r="AA152" s="39"/>
      <c r="AB152" t="s">
        <v>44</v>
      </c>
      <c r="AC152" s="42">
        <v>37278</v>
      </c>
      <c r="AD152" s="42">
        <v>38007</v>
      </c>
      <c r="AE152" s="53" t="s">
        <v>116</v>
      </c>
      <c r="AF152" s="54" t="s">
        <v>290</v>
      </c>
      <c r="AG152" s="54"/>
      <c r="AH152" s="39" t="s">
        <v>70</v>
      </c>
      <c r="AI152" s="39" t="s">
        <v>52</v>
      </c>
    </row>
    <row r="153" spans="1:35" ht="17" x14ac:dyDescent="0.2">
      <c r="A153">
        <v>41</v>
      </c>
      <c r="B153">
        <v>366</v>
      </c>
      <c r="C153" t="s">
        <v>4073</v>
      </c>
      <c r="D153" s="39" t="s">
        <v>2235</v>
      </c>
      <c r="E153" s="39" t="s">
        <v>319</v>
      </c>
      <c r="F153" s="39" t="s">
        <v>35</v>
      </c>
      <c r="G153" s="39" t="s">
        <v>194</v>
      </c>
      <c r="I153" s="39" t="s">
        <v>35</v>
      </c>
      <c r="J153" s="39" t="s">
        <v>35</v>
      </c>
      <c r="K153" t="s">
        <v>2236</v>
      </c>
      <c r="L153" t="s">
        <v>2237</v>
      </c>
      <c r="M153" s="6" t="s">
        <v>5907</v>
      </c>
      <c r="N153" t="s">
        <v>86</v>
      </c>
      <c r="O153" t="s">
        <v>104</v>
      </c>
      <c r="P153" s="35" t="s">
        <v>99</v>
      </c>
      <c r="Q153" t="s">
        <v>44</v>
      </c>
      <c r="R153" t="s">
        <v>2238</v>
      </c>
      <c r="S153" s="6" t="s">
        <v>3013</v>
      </c>
      <c r="T153" s="43" t="s">
        <v>1279</v>
      </c>
      <c r="U153" s="43" t="s">
        <v>1436</v>
      </c>
      <c r="V153" t="s">
        <v>42</v>
      </c>
      <c r="W153" s="57"/>
      <c r="X153" s="57"/>
      <c r="Y153" t="s">
        <v>43</v>
      </c>
      <c r="Z153" s="39"/>
      <c r="AA153" s="39"/>
      <c r="AB153" t="s">
        <v>44</v>
      </c>
      <c r="AC153" s="42">
        <v>33240</v>
      </c>
      <c r="AD153" s="42">
        <v>33602</v>
      </c>
      <c r="AE153" s="53" t="s">
        <v>51</v>
      </c>
      <c r="AF153" s="54" t="s">
        <v>35</v>
      </c>
      <c r="AG153" s="54"/>
      <c r="AH153" s="39" t="s">
        <v>52</v>
      </c>
      <c r="AI153" s="39" t="s">
        <v>52</v>
      </c>
    </row>
    <row r="154" spans="1:35" ht="17" x14ac:dyDescent="0.2">
      <c r="A154">
        <v>356</v>
      </c>
      <c r="B154">
        <v>515</v>
      </c>
      <c r="C154" t="s">
        <v>4074</v>
      </c>
      <c r="D154" s="39" t="s">
        <v>2930</v>
      </c>
      <c r="E154" s="39" t="s">
        <v>319</v>
      </c>
      <c r="F154" s="39" t="s">
        <v>35</v>
      </c>
      <c r="G154" s="39" t="s">
        <v>160</v>
      </c>
      <c r="I154" s="39" t="s">
        <v>2931</v>
      </c>
      <c r="J154" s="39" t="s">
        <v>35</v>
      </c>
      <c r="K154" t="s">
        <v>2932</v>
      </c>
      <c r="L154" t="s">
        <v>1417</v>
      </c>
      <c r="M154" s="6" t="s">
        <v>5908</v>
      </c>
      <c r="N154" s="36" t="s">
        <v>86</v>
      </c>
      <c r="O154" t="s">
        <v>49</v>
      </c>
      <c r="P154" s="35" t="s">
        <v>50</v>
      </c>
      <c r="Q154" t="s">
        <v>62</v>
      </c>
      <c r="R154" t="s">
        <v>63</v>
      </c>
      <c r="S154" s="6" t="s">
        <v>6150</v>
      </c>
      <c r="T154" s="43" t="s">
        <v>400</v>
      </c>
      <c r="U154" s="43" t="s">
        <v>1216</v>
      </c>
      <c r="W154" s="57"/>
      <c r="X154" s="57"/>
      <c r="Z154" s="39"/>
      <c r="AA154" s="39"/>
      <c r="AB154" t="s">
        <v>62</v>
      </c>
      <c r="AC154" s="42">
        <v>41058</v>
      </c>
      <c r="AD154" s="42">
        <v>42999</v>
      </c>
      <c r="AE154" s="53" t="s">
        <v>453</v>
      </c>
      <c r="AF154" s="54" t="s">
        <v>2933</v>
      </c>
      <c r="AG154" s="54"/>
      <c r="AH154" s="39" t="s">
        <v>70</v>
      </c>
      <c r="AI154" s="39" t="s">
        <v>52</v>
      </c>
    </row>
    <row r="155" spans="1:35" ht="17" x14ac:dyDescent="0.2">
      <c r="A155">
        <v>120</v>
      </c>
      <c r="B155">
        <v>586</v>
      </c>
      <c r="C155" t="s">
        <v>4077</v>
      </c>
      <c r="D155" s="39" t="s">
        <v>3279</v>
      </c>
      <c r="E155" s="39" t="s">
        <v>319</v>
      </c>
      <c r="F155" s="39" t="s">
        <v>35</v>
      </c>
      <c r="G155" s="39" t="s">
        <v>205</v>
      </c>
      <c r="I155" s="39" t="s">
        <v>3280</v>
      </c>
      <c r="J155" s="39" t="s">
        <v>3281</v>
      </c>
      <c r="K155" t="s">
        <v>3282</v>
      </c>
      <c r="L155" t="s">
        <v>3283</v>
      </c>
      <c r="M155" s="6" t="s">
        <v>5909</v>
      </c>
      <c r="N155" t="s">
        <v>86</v>
      </c>
      <c r="O155" t="s">
        <v>49</v>
      </c>
      <c r="P155" s="35" t="s">
        <v>50</v>
      </c>
      <c r="Q155" t="s">
        <v>44</v>
      </c>
      <c r="R155" t="s">
        <v>3284</v>
      </c>
      <c r="S155" s="6" t="s">
        <v>4787</v>
      </c>
      <c r="T155" s="43" t="s">
        <v>1809</v>
      </c>
      <c r="U155" s="43" t="s">
        <v>255</v>
      </c>
      <c r="V155" t="s">
        <v>49</v>
      </c>
      <c r="W155" s="57"/>
      <c r="X155" s="57"/>
      <c r="Y155" t="s">
        <v>50</v>
      </c>
      <c r="Z155" s="39"/>
      <c r="AA155" s="39"/>
      <c r="AB155" t="s">
        <v>44</v>
      </c>
      <c r="AC155" s="42">
        <v>35488</v>
      </c>
      <c r="AD155" s="42">
        <v>35674</v>
      </c>
      <c r="AE155" s="53" t="s">
        <v>51</v>
      </c>
      <c r="AF155" s="54" t="s">
        <v>35</v>
      </c>
      <c r="AG155" s="54"/>
      <c r="AH155" s="39" t="s">
        <v>52</v>
      </c>
      <c r="AI155" s="39" t="s">
        <v>52</v>
      </c>
    </row>
    <row r="156" spans="1:35" ht="17" x14ac:dyDescent="0.2">
      <c r="A156">
        <v>235</v>
      </c>
      <c r="B156">
        <v>191</v>
      </c>
      <c r="C156" t="s">
        <v>4082</v>
      </c>
      <c r="D156" s="39" t="s">
        <v>1326</v>
      </c>
      <c r="E156" s="39" t="s">
        <v>1327</v>
      </c>
      <c r="F156" s="39" t="s">
        <v>35</v>
      </c>
      <c r="G156" s="39" t="s">
        <v>82</v>
      </c>
      <c r="H156" s="34"/>
      <c r="I156" s="39" t="s">
        <v>1328</v>
      </c>
      <c r="J156" s="39" t="s">
        <v>35</v>
      </c>
      <c r="K156" t="s">
        <v>1329</v>
      </c>
      <c r="L156" t="s">
        <v>1330</v>
      </c>
      <c r="M156" s="6" t="s">
        <v>5910</v>
      </c>
      <c r="N156" s="36" t="s">
        <v>86</v>
      </c>
      <c r="O156" t="s">
        <v>1331</v>
      </c>
      <c r="P156" s="35" t="s">
        <v>50</v>
      </c>
      <c r="Q156" t="s">
        <v>35</v>
      </c>
      <c r="R156" t="s">
        <v>1332</v>
      </c>
      <c r="S156" s="6" t="s">
        <v>5910</v>
      </c>
      <c r="T156" s="43" t="s">
        <v>528</v>
      </c>
      <c r="U156" s="43" t="s">
        <v>324</v>
      </c>
      <c r="V156" t="s">
        <v>1331</v>
      </c>
      <c r="W156" s="57"/>
      <c r="X156" s="57"/>
      <c r="Y156" t="s">
        <v>50</v>
      </c>
      <c r="Z156" s="39"/>
      <c r="AA156" s="39"/>
      <c r="AB156" t="s">
        <v>980</v>
      </c>
      <c r="AC156" s="42">
        <v>37797</v>
      </c>
      <c r="AD156" s="42">
        <v>38007</v>
      </c>
      <c r="AE156" s="53" t="s">
        <v>51</v>
      </c>
      <c r="AF156" s="54" t="s">
        <v>35</v>
      </c>
      <c r="AG156" s="54"/>
      <c r="AH156" s="39" t="s">
        <v>52</v>
      </c>
      <c r="AI156" s="39" t="s">
        <v>52</v>
      </c>
    </row>
    <row r="157" spans="1:35" ht="17" x14ac:dyDescent="0.2">
      <c r="A157">
        <v>37</v>
      </c>
      <c r="B157">
        <v>316</v>
      </c>
      <c r="C157" t="s">
        <v>4088</v>
      </c>
      <c r="D157" s="39" t="s">
        <v>1976</v>
      </c>
      <c r="E157" s="39" t="s">
        <v>1327</v>
      </c>
      <c r="F157" s="39" t="s">
        <v>35</v>
      </c>
      <c r="G157" s="39" t="s">
        <v>194</v>
      </c>
      <c r="I157" s="39" t="s">
        <v>1977</v>
      </c>
      <c r="J157" s="39" t="s">
        <v>1978</v>
      </c>
      <c r="K157" t="s">
        <v>1979</v>
      </c>
      <c r="L157" t="s">
        <v>1980</v>
      </c>
      <c r="M157" s="6" t="s">
        <v>3589</v>
      </c>
      <c r="N157" t="s">
        <v>59</v>
      </c>
      <c r="O157" t="s">
        <v>401</v>
      </c>
      <c r="P157" s="35" t="s">
        <v>50</v>
      </c>
      <c r="Q157" t="s">
        <v>115</v>
      </c>
      <c r="R157" t="s">
        <v>1981</v>
      </c>
      <c r="S157" s="6" t="s">
        <v>6151</v>
      </c>
      <c r="T157" s="43" t="s">
        <v>1466</v>
      </c>
      <c r="U157" s="43" t="s">
        <v>90</v>
      </c>
      <c r="V157" t="s">
        <v>49</v>
      </c>
      <c r="W157" s="57"/>
      <c r="X157" s="57"/>
      <c r="Y157" t="s">
        <v>50</v>
      </c>
      <c r="Z157" s="39"/>
      <c r="AA157" s="39"/>
      <c r="AB157" t="s">
        <v>115</v>
      </c>
      <c r="AC157" s="42">
        <v>33240</v>
      </c>
      <c r="AD157" s="42">
        <v>34756</v>
      </c>
      <c r="AE157" s="53" t="s">
        <v>51</v>
      </c>
      <c r="AF157" s="54" t="s">
        <v>35</v>
      </c>
      <c r="AG157" s="54"/>
      <c r="AH157" s="39" t="s">
        <v>52</v>
      </c>
      <c r="AI157" s="39" t="s">
        <v>52</v>
      </c>
    </row>
    <row r="158" spans="1:35" ht="17" x14ac:dyDescent="0.2">
      <c r="A158">
        <v>198</v>
      </c>
      <c r="B158">
        <v>401</v>
      </c>
      <c r="C158" t="s">
        <v>4091</v>
      </c>
      <c r="D158" s="39" t="s">
        <v>2411</v>
      </c>
      <c r="E158" s="39" t="s">
        <v>1327</v>
      </c>
      <c r="F158" s="39" t="s">
        <v>35</v>
      </c>
      <c r="G158" s="39" t="s">
        <v>82</v>
      </c>
      <c r="H158" s="34"/>
      <c r="I158" s="39" t="s">
        <v>35</v>
      </c>
      <c r="J158" s="39" t="s">
        <v>35</v>
      </c>
      <c r="L158" t="s">
        <v>35</v>
      </c>
      <c r="M158" s="6" t="s">
        <v>5911</v>
      </c>
      <c r="P158" s="35"/>
      <c r="Q158" t="s">
        <v>35</v>
      </c>
      <c r="S158" s="6" t="s">
        <v>6152</v>
      </c>
      <c r="T158" s="43" t="s">
        <v>35</v>
      </c>
      <c r="U158" s="43" t="s">
        <v>35</v>
      </c>
      <c r="W158" s="57"/>
      <c r="X158" s="57"/>
      <c r="Z158" s="39"/>
      <c r="AA158" s="39"/>
      <c r="AB158" t="s">
        <v>35</v>
      </c>
      <c r="AC158" s="42">
        <v>37278</v>
      </c>
      <c r="AD158" s="42">
        <v>37649</v>
      </c>
      <c r="AE158" s="53" t="s">
        <v>51</v>
      </c>
      <c r="AF158" s="54" t="s">
        <v>35</v>
      </c>
      <c r="AG158" s="54"/>
      <c r="AH158" s="39" t="s">
        <v>52</v>
      </c>
      <c r="AI158" s="39" t="s">
        <v>52</v>
      </c>
    </row>
    <row r="159" spans="1:35" ht="17" x14ac:dyDescent="0.2">
      <c r="A159">
        <v>164</v>
      </c>
      <c r="B159">
        <v>602</v>
      </c>
      <c r="C159" t="s">
        <v>4092</v>
      </c>
      <c r="D159" s="39" t="s">
        <v>3354</v>
      </c>
      <c r="E159" s="39" t="s">
        <v>3355</v>
      </c>
      <c r="F159" s="39" t="s">
        <v>35</v>
      </c>
      <c r="G159" s="39" t="s">
        <v>205</v>
      </c>
      <c r="I159" s="39" t="s">
        <v>3356</v>
      </c>
      <c r="J159" s="39" t="s">
        <v>35</v>
      </c>
      <c r="K159" t="s">
        <v>3357</v>
      </c>
      <c r="L159" t="s">
        <v>3358</v>
      </c>
      <c r="M159" s="6" t="s">
        <v>35</v>
      </c>
      <c r="N159" t="s">
        <v>41</v>
      </c>
      <c r="O159" t="s">
        <v>621</v>
      </c>
      <c r="P159" s="35" t="s">
        <v>622</v>
      </c>
      <c r="Q159" t="s">
        <v>62</v>
      </c>
      <c r="R159" t="s">
        <v>1447</v>
      </c>
      <c r="S159" s="6" t="s">
        <v>35</v>
      </c>
      <c r="T159" s="43" t="s">
        <v>246</v>
      </c>
      <c r="U159" s="43" t="s">
        <v>2336</v>
      </c>
      <c r="V159" t="s">
        <v>621</v>
      </c>
      <c r="W159" s="57"/>
      <c r="X159" s="57"/>
      <c r="Y159" t="s">
        <v>622</v>
      </c>
      <c r="Z159" s="39"/>
      <c r="AA159" s="39"/>
      <c r="AB159" t="s">
        <v>62</v>
      </c>
      <c r="AC159" s="42">
        <v>36655</v>
      </c>
      <c r="AD159" s="42">
        <v>37649</v>
      </c>
      <c r="AE159" s="53" t="s">
        <v>51</v>
      </c>
      <c r="AF159" s="54" t="s">
        <v>35</v>
      </c>
      <c r="AG159" s="54"/>
      <c r="AH159" s="39" t="s">
        <v>52</v>
      </c>
      <c r="AI159" s="39" t="s">
        <v>52</v>
      </c>
    </row>
    <row r="160" spans="1:35" ht="17" x14ac:dyDescent="0.2">
      <c r="B160">
        <v>23</v>
      </c>
      <c r="C160" t="s">
        <v>5758</v>
      </c>
      <c r="D160" s="39" t="s">
        <v>257</v>
      </c>
      <c r="E160" s="39" t="s">
        <v>258</v>
      </c>
      <c r="F160" s="39" t="s">
        <v>35</v>
      </c>
      <c r="G160" s="39" t="s">
        <v>259</v>
      </c>
      <c r="I160" s="39" t="s">
        <v>260</v>
      </c>
      <c r="J160" s="39" t="s">
        <v>35</v>
      </c>
      <c r="K160" t="s">
        <v>261</v>
      </c>
      <c r="L160" t="s">
        <v>262</v>
      </c>
      <c r="M160" s="6" t="s">
        <v>5912</v>
      </c>
      <c r="N160" t="s">
        <v>131</v>
      </c>
      <c r="O160" t="s">
        <v>49</v>
      </c>
      <c r="P160" s="35" t="s">
        <v>50</v>
      </c>
      <c r="Q160" t="s">
        <v>62</v>
      </c>
      <c r="R160" t="s">
        <v>263</v>
      </c>
      <c r="S160" s="6" t="s">
        <v>4095</v>
      </c>
      <c r="T160" s="43" t="s">
        <v>246</v>
      </c>
      <c r="U160" s="43" t="s">
        <v>246</v>
      </c>
      <c r="V160" t="s">
        <v>49</v>
      </c>
      <c r="W160" s="57"/>
      <c r="X160" s="57"/>
      <c r="Y160" t="s">
        <v>50</v>
      </c>
      <c r="Z160" s="39"/>
      <c r="AA160" s="39"/>
      <c r="AB160" t="s">
        <v>44</v>
      </c>
      <c r="AC160" s="42">
        <v>44935</v>
      </c>
      <c r="AD160" s="42">
        <v>45666</v>
      </c>
      <c r="AE160" s="53" t="s">
        <v>51</v>
      </c>
      <c r="AF160" s="54" t="s">
        <v>35</v>
      </c>
      <c r="AG160" s="54"/>
      <c r="AH160" s="39" t="s">
        <v>52</v>
      </c>
      <c r="AI160" s="39" t="s">
        <v>52</v>
      </c>
    </row>
    <row r="161" spans="1:35" ht="17" x14ac:dyDescent="0.2">
      <c r="A161">
        <v>51</v>
      </c>
      <c r="B161">
        <v>467</v>
      </c>
      <c r="C161" t="s">
        <v>4096</v>
      </c>
      <c r="D161" s="39" t="s">
        <v>2705</v>
      </c>
      <c r="E161" s="39" t="s">
        <v>258</v>
      </c>
      <c r="F161" s="39" t="s">
        <v>35</v>
      </c>
      <c r="G161" s="39" t="s">
        <v>194</v>
      </c>
      <c r="H161" s="34"/>
      <c r="I161" s="39" t="s">
        <v>2706</v>
      </c>
      <c r="J161" s="39" t="s">
        <v>35</v>
      </c>
      <c r="K161" t="s">
        <v>2707</v>
      </c>
      <c r="L161" t="s">
        <v>2708</v>
      </c>
      <c r="M161" s="6" t="s">
        <v>3555</v>
      </c>
      <c r="N161" t="s">
        <v>86</v>
      </c>
      <c r="O161" t="s">
        <v>49</v>
      </c>
      <c r="P161" s="35" t="s">
        <v>50</v>
      </c>
      <c r="Q161" t="s">
        <v>62</v>
      </c>
      <c r="R161" t="s">
        <v>2709</v>
      </c>
      <c r="S161" s="6" t="s">
        <v>6153</v>
      </c>
      <c r="T161" s="43" t="s">
        <v>409</v>
      </c>
      <c r="U161" s="43" t="s">
        <v>324</v>
      </c>
      <c r="W161" s="57"/>
      <c r="X161" s="57"/>
      <c r="Z161" s="39"/>
      <c r="AA161" s="39"/>
      <c r="AB161" t="s">
        <v>62</v>
      </c>
      <c r="AC161" s="42">
        <v>33240</v>
      </c>
      <c r="AD161" s="42">
        <v>33602</v>
      </c>
      <c r="AE161" s="53" t="s">
        <v>51</v>
      </c>
      <c r="AF161" s="54" t="s">
        <v>35</v>
      </c>
      <c r="AG161" s="54"/>
      <c r="AH161" s="39" t="s">
        <v>52</v>
      </c>
      <c r="AI161" s="39" t="s">
        <v>52</v>
      </c>
    </row>
    <row r="162" spans="1:35" ht="17" x14ac:dyDescent="0.2">
      <c r="A162">
        <v>253</v>
      </c>
      <c r="B162">
        <v>173</v>
      </c>
      <c r="C162" t="s">
        <v>4099</v>
      </c>
      <c r="D162" s="39" t="s">
        <v>1220</v>
      </c>
      <c r="E162" s="39" t="s">
        <v>1221</v>
      </c>
      <c r="F162" s="39" t="s">
        <v>35</v>
      </c>
      <c r="G162" s="39" t="s">
        <v>82</v>
      </c>
      <c r="I162" s="39" t="s">
        <v>1222</v>
      </c>
      <c r="J162" s="39" t="s">
        <v>35</v>
      </c>
      <c r="K162" t="s">
        <v>1223</v>
      </c>
      <c r="L162" s="49" t="s">
        <v>1224</v>
      </c>
      <c r="M162" s="6" t="s">
        <v>5913</v>
      </c>
      <c r="N162" t="s">
        <v>59</v>
      </c>
      <c r="O162" t="s">
        <v>49</v>
      </c>
      <c r="P162" s="35" t="s">
        <v>50</v>
      </c>
      <c r="Q162" t="s">
        <v>132</v>
      </c>
      <c r="R162" t="s">
        <v>1225</v>
      </c>
      <c r="S162" s="6" t="s">
        <v>4098</v>
      </c>
      <c r="T162" s="43" t="s">
        <v>1226</v>
      </c>
      <c r="U162" s="43" t="s">
        <v>387</v>
      </c>
      <c r="V162" t="s">
        <v>49</v>
      </c>
      <c r="W162" s="57"/>
      <c r="X162" s="57"/>
      <c r="Y162" t="s">
        <v>50</v>
      </c>
      <c r="Z162" s="39"/>
      <c r="AA162" s="39"/>
      <c r="AB162" t="s">
        <v>132</v>
      </c>
      <c r="AC162" s="42">
        <v>38356</v>
      </c>
      <c r="AD162" s="42">
        <v>38860</v>
      </c>
      <c r="AE162" s="53" t="s">
        <v>559</v>
      </c>
      <c r="AF162" s="54" t="s">
        <v>35</v>
      </c>
      <c r="AG162" s="54"/>
      <c r="AH162" s="39" t="s">
        <v>52</v>
      </c>
      <c r="AI162" s="39" t="s">
        <v>70</v>
      </c>
    </row>
    <row r="163" spans="1:35" ht="17" x14ac:dyDescent="0.2">
      <c r="A163">
        <v>439</v>
      </c>
      <c r="B163">
        <v>179</v>
      </c>
      <c r="C163" t="s">
        <v>4104</v>
      </c>
      <c r="D163" s="39" t="s">
        <v>1262</v>
      </c>
      <c r="E163" s="39" t="s">
        <v>1221</v>
      </c>
      <c r="F163" s="39" t="s">
        <v>35</v>
      </c>
      <c r="G163" s="39" t="s">
        <v>36</v>
      </c>
      <c r="I163" s="39" t="s">
        <v>1263</v>
      </c>
      <c r="J163" s="39" t="s">
        <v>35</v>
      </c>
      <c r="K163" t="s">
        <v>1264</v>
      </c>
      <c r="L163" s="49" t="s">
        <v>1265</v>
      </c>
      <c r="M163" s="6" t="s">
        <v>5914</v>
      </c>
      <c r="N163" t="s">
        <v>59</v>
      </c>
      <c r="O163" t="s">
        <v>401</v>
      </c>
      <c r="P163" s="35" t="s">
        <v>50</v>
      </c>
      <c r="Q163" t="s">
        <v>62</v>
      </c>
      <c r="R163" t="s">
        <v>1266</v>
      </c>
      <c r="S163" s="6" t="s">
        <v>3501</v>
      </c>
      <c r="T163" s="43" t="s">
        <v>1267</v>
      </c>
      <c r="U163" s="43" t="s">
        <v>48</v>
      </c>
      <c r="V163" t="s">
        <v>49</v>
      </c>
      <c r="W163" s="57"/>
      <c r="X163" s="57"/>
      <c r="Y163" t="s">
        <v>50</v>
      </c>
      <c r="Z163" s="39"/>
      <c r="AA163" s="39"/>
      <c r="AB163" t="s">
        <v>100</v>
      </c>
      <c r="AC163" s="42">
        <v>42886</v>
      </c>
      <c r="AD163" s="42">
        <v>43152</v>
      </c>
      <c r="AE163" s="53" t="s">
        <v>51</v>
      </c>
      <c r="AF163" s="54" t="s">
        <v>35</v>
      </c>
      <c r="AG163" s="54"/>
      <c r="AH163" s="39" t="s">
        <v>52</v>
      </c>
      <c r="AI163" s="39" t="s">
        <v>52</v>
      </c>
    </row>
    <row r="164" spans="1:35" ht="17" x14ac:dyDescent="0.2">
      <c r="A164">
        <v>250</v>
      </c>
      <c r="B164">
        <v>310</v>
      </c>
      <c r="C164" t="s">
        <v>4107</v>
      </c>
      <c r="D164" s="39" t="s">
        <v>1942</v>
      </c>
      <c r="E164" s="39" t="s">
        <v>1221</v>
      </c>
      <c r="F164" s="39" t="s">
        <v>35</v>
      </c>
      <c r="G164" s="39" t="s">
        <v>82</v>
      </c>
      <c r="I164" s="39" t="s">
        <v>1943</v>
      </c>
      <c r="J164" s="39" t="s">
        <v>35</v>
      </c>
      <c r="K164" t="s">
        <v>1944</v>
      </c>
      <c r="L164" t="s">
        <v>1945</v>
      </c>
      <c r="M164" s="6" t="s">
        <v>3901</v>
      </c>
      <c r="N164" s="37" t="s">
        <v>59</v>
      </c>
      <c r="O164" t="s">
        <v>836</v>
      </c>
      <c r="P164" s="35"/>
      <c r="Q164" t="s">
        <v>35</v>
      </c>
      <c r="R164" t="s">
        <v>1946</v>
      </c>
      <c r="S164" s="6" t="s">
        <v>6154</v>
      </c>
      <c r="T164" s="43" t="s">
        <v>1086</v>
      </c>
      <c r="U164" s="43" t="s">
        <v>1877</v>
      </c>
      <c r="V164" t="s">
        <v>836</v>
      </c>
      <c r="W164" s="57"/>
      <c r="X164" s="57"/>
      <c r="Y164" t="s">
        <v>356</v>
      </c>
      <c r="Z164" s="39"/>
      <c r="AA164" s="39"/>
      <c r="AB164" t="s">
        <v>911</v>
      </c>
      <c r="AC164" s="42">
        <v>38356</v>
      </c>
      <c r="AD164" s="42">
        <v>38860</v>
      </c>
      <c r="AE164" s="53" t="s">
        <v>453</v>
      </c>
      <c r="AF164" s="54" t="s">
        <v>35</v>
      </c>
      <c r="AG164" s="54"/>
      <c r="AH164" s="39" t="s">
        <v>70</v>
      </c>
      <c r="AI164" s="39" t="s">
        <v>52</v>
      </c>
    </row>
    <row r="165" spans="1:35" ht="34" x14ac:dyDescent="0.2">
      <c r="A165">
        <v>155</v>
      </c>
      <c r="B165">
        <v>392</v>
      </c>
      <c r="C165" t="s">
        <v>4111</v>
      </c>
      <c r="D165" s="39" t="s">
        <v>2369</v>
      </c>
      <c r="E165" s="39" t="s">
        <v>1221</v>
      </c>
      <c r="F165" s="39" t="s">
        <v>35</v>
      </c>
      <c r="G165" s="39" t="s">
        <v>205</v>
      </c>
      <c r="H165" s="34"/>
      <c r="I165" s="39" t="s">
        <v>2370</v>
      </c>
      <c r="J165" s="39" t="s">
        <v>35</v>
      </c>
      <c r="K165" t="s">
        <v>2371</v>
      </c>
      <c r="L165" t="s">
        <v>2372</v>
      </c>
      <c r="M165" s="6" t="s">
        <v>5915</v>
      </c>
      <c r="N165" t="s">
        <v>59</v>
      </c>
      <c r="O165" t="s">
        <v>2373</v>
      </c>
      <c r="P165" s="35" t="s">
        <v>972</v>
      </c>
      <c r="Q165" t="s">
        <v>62</v>
      </c>
      <c r="R165" t="s">
        <v>2374</v>
      </c>
      <c r="S165" s="6" t="s">
        <v>6155</v>
      </c>
      <c r="T165" s="43" t="s">
        <v>165</v>
      </c>
      <c r="U165" s="43" t="s">
        <v>1877</v>
      </c>
      <c r="V165" t="s">
        <v>639</v>
      </c>
      <c r="W165" s="57"/>
      <c r="X165" s="57"/>
      <c r="Y165" t="s">
        <v>640</v>
      </c>
      <c r="Z165" s="39"/>
      <c r="AA165" s="39"/>
      <c r="AB165" t="s">
        <v>62</v>
      </c>
      <c r="AC165" s="42">
        <v>36515</v>
      </c>
      <c r="AD165" s="42">
        <v>37298</v>
      </c>
      <c r="AE165" s="53" t="s">
        <v>116</v>
      </c>
      <c r="AF165" s="54" t="s">
        <v>35</v>
      </c>
      <c r="AG165" s="54"/>
      <c r="AH165" s="39" t="s">
        <v>70</v>
      </c>
      <c r="AI165" s="39" t="s">
        <v>52</v>
      </c>
    </row>
    <row r="166" spans="1:35" ht="34" x14ac:dyDescent="0.2">
      <c r="A166">
        <v>45</v>
      </c>
      <c r="B166">
        <v>421</v>
      </c>
      <c r="C166" t="s">
        <v>4118</v>
      </c>
      <c r="D166" s="39" t="s">
        <v>2508</v>
      </c>
      <c r="E166" s="39" t="s">
        <v>1221</v>
      </c>
      <c r="F166" s="39" t="s">
        <v>35</v>
      </c>
      <c r="G166" s="39" t="s">
        <v>194</v>
      </c>
      <c r="H166" s="34"/>
      <c r="I166" s="39" t="s">
        <v>2509</v>
      </c>
      <c r="J166" s="39" t="s">
        <v>35</v>
      </c>
      <c r="K166" t="s">
        <v>2510</v>
      </c>
      <c r="L166" t="s">
        <v>2511</v>
      </c>
      <c r="M166" s="6" t="s">
        <v>5916</v>
      </c>
      <c r="N166" t="s">
        <v>59</v>
      </c>
      <c r="O166" t="s">
        <v>399</v>
      </c>
      <c r="P166" s="35" t="s">
        <v>50</v>
      </c>
      <c r="Q166" t="s">
        <v>35</v>
      </c>
      <c r="R166" t="s">
        <v>2512</v>
      </c>
      <c r="S166" s="6" t="s">
        <v>6156</v>
      </c>
      <c r="T166" s="43" t="s">
        <v>338</v>
      </c>
      <c r="U166" s="43" t="s">
        <v>940</v>
      </c>
      <c r="V166" t="s">
        <v>399</v>
      </c>
      <c r="W166" s="57"/>
      <c r="X166" s="57"/>
      <c r="Y166" t="s">
        <v>50</v>
      </c>
      <c r="Z166" s="39"/>
      <c r="AA166" s="39"/>
      <c r="AB166" t="s">
        <v>62</v>
      </c>
      <c r="AC166" s="42">
        <v>33240</v>
      </c>
      <c r="AD166" s="42">
        <v>33602</v>
      </c>
      <c r="AE166" s="53" t="s">
        <v>51</v>
      </c>
      <c r="AF166" s="54" t="s">
        <v>35</v>
      </c>
      <c r="AG166" s="54"/>
      <c r="AH166" s="39" t="s">
        <v>52</v>
      </c>
      <c r="AI166" s="39" t="s">
        <v>52</v>
      </c>
    </row>
    <row r="167" spans="1:35" ht="51" x14ac:dyDescent="0.2">
      <c r="A167">
        <v>460</v>
      </c>
      <c r="B167">
        <v>569</v>
      </c>
      <c r="C167" t="s">
        <v>4127</v>
      </c>
      <c r="D167" s="39" t="s">
        <v>3201</v>
      </c>
      <c r="E167" s="39" t="s">
        <v>1221</v>
      </c>
      <c r="F167" s="39" t="s">
        <v>35</v>
      </c>
      <c r="G167" s="39" t="s">
        <v>36</v>
      </c>
      <c r="H167" s="34"/>
      <c r="I167" s="39" t="s">
        <v>3202</v>
      </c>
      <c r="J167" s="39" t="s">
        <v>3203</v>
      </c>
      <c r="K167" t="s">
        <v>3204</v>
      </c>
      <c r="L167" t="s">
        <v>3205</v>
      </c>
      <c r="M167" s="6" t="s">
        <v>5917</v>
      </c>
      <c r="N167" t="s">
        <v>59</v>
      </c>
      <c r="O167" t="s">
        <v>190</v>
      </c>
      <c r="P167" s="35" t="s">
        <v>191</v>
      </c>
      <c r="Q167" t="s">
        <v>35</v>
      </c>
      <c r="R167" t="s">
        <v>727</v>
      </c>
      <c r="S167" s="6" t="s">
        <v>6157</v>
      </c>
      <c r="T167" s="43" t="s">
        <v>102</v>
      </c>
      <c r="U167" s="43" t="s">
        <v>774</v>
      </c>
      <c r="V167" t="s">
        <v>190</v>
      </c>
      <c r="W167" s="57"/>
      <c r="X167" s="57"/>
      <c r="Y167" t="s">
        <v>191</v>
      </c>
      <c r="Z167" s="39"/>
      <c r="AA167" s="39"/>
      <c r="AB167" t="s">
        <v>728</v>
      </c>
      <c r="AC167" s="42">
        <v>43115</v>
      </c>
      <c r="AD167" s="42">
        <v>43983</v>
      </c>
      <c r="AE167" s="53" t="s">
        <v>51</v>
      </c>
      <c r="AF167" s="54" t="s">
        <v>35</v>
      </c>
      <c r="AG167" s="54"/>
      <c r="AH167" s="39" t="s">
        <v>52</v>
      </c>
      <c r="AI167" s="39" t="s">
        <v>52</v>
      </c>
    </row>
    <row r="168" spans="1:35" ht="17" x14ac:dyDescent="0.2">
      <c r="A168">
        <v>596</v>
      </c>
      <c r="B168">
        <v>59</v>
      </c>
      <c r="C168" t="s">
        <v>5764</v>
      </c>
      <c r="D168" s="39" t="s">
        <v>511</v>
      </c>
      <c r="E168" s="39" t="s">
        <v>512</v>
      </c>
      <c r="F168" s="39" t="s">
        <v>35</v>
      </c>
      <c r="G168" s="39" t="s">
        <v>259</v>
      </c>
      <c r="I168" s="39" t="s">
        <v>513</v>
      </c>
      <c r="J168" s="39" t="s">
        <v>35</v>
      </c>
      <c r="K168" t="s">
        <v>514</v>
      </c>
      <c r="L168" s="49" t="s">
        <v>515</v>
      </c>
      <c r="M168" s="6" t="s">
        <v>4913</v>
      </c>
      <c r="N168" t="s">
        <v>131</v>
      </c>
      <c r="O168" t="s">
        <v>49</v>
      </c>
      <c r="P168" s="35" t="s">
        <v>50</v>
      </c>
      <c r="Q168" t="s">
        <v>44</v>
      </c>
      <c r="R168" t="s">
        <v>516</v>
      </c>
      <c r="S168" s="6" t="s">
        <v>6158</v>
      </c>
      <c r="T168" s="43" t="s">
        <v>213</v>
      </c>
      <c r="U168" s="43" t="s">
        <v>213</v>
      </c>
      <c r="V168" t="s">
        <v>49</v>
      </c>
      <c r="W168" s="57"/>
      <c r="X168" s="57"/>
      <c r="Y168" t="s">
        <v>50</v>
      </c>
      <c r="Z168" s="39"/>
      <c r="AA168" s="39"/>
      <c r="AB168" t="s">
        <v>44</v>
      </c>
      <c r="AC168" s="42">
        <v>44570</v>
      </c>
      <c r="AD168" s="42">
        <v>45663</v>
      </c>
      <c r="AE168" s="53" t="s">
        <v>51</v>
      </c>
      <c r="AF168" s="54" t="s">
        <v>35</v>
      </c>
      <c r="AG168" s="54"/>
      <c r="AH168" s="39" t="s">
        <v>52</v>
      </c>
      <c r="AI168" s="39" t="s">
        <v>52</v>
      </c>
    </row>
    <row r="169" spans="1:35" ht="17" x14ac:dyDescent="0.2">
      <c r="A169">
        <v>74</v>
      </c>
      <c r="B169">
        <v>183</v>
      </c>
      <c r="C169" t="s">
        <v>4128</v>
      </c>
      <c r="D169" s="39" t="s">
        <v>1283</v>
      </c>
      <c r="E169" s="39" t="s">
        <v>1284</v>
      </c>
      <c r="F169" s="39" t="s">
        <v>35</v>
      </c>
      <c r="G169" s="39" t="s">
        <v>194</v>
      </c>
      <c r="H169" s="34"/>
      <c r="I169" s="39" t="s">
        <v>1285</v>
      </c>
      <c r="J169" s="39" t="s">
        <v>35</v>
      </c>
      <c r="K169" t="s">
        <v>1286</v>
      </c>
      <c r="L169" s="49" t="s">
        <v>1287</v>
      </c>
      <c r="M169" s="6" t="s">
        <v>5918</v>
      </c>
      <c r="N169" t="s">
        <v>86</v>
      </c>
      <c r="O169" t="s">
        <v>42</v>
      </c>
      <c r="P169" s="35" t="s">
        <v>43</v>
      </c>
      <c r="Q169" t="s">
        <v>44</v>
      </c>
      <c r="R169" t="s">
        <v>152</v>
      </c>
      <c r="S169" s="6" t="s">
        <v>3930</v>
      </c>
      <c r="T169" s="43" t="s">
        <v>254</v>
      </c>
      <c r="U169" s="43" t="s">
        <v>788</v>
      </c>
      <c r="V169" t="s">
        <v>42</v>
      </c>
      <c r="W169" s="57"/>
      <c r="X169" s="57"/>
      <c r="Y169" t="s">
        <v>43</v>
      </c>
      <c r="Z169" s="39"/>
      <c r="AA169" s="39"/>
      <c r="AB169" t="s">
        <v>44</v>
      </c>
      <c r="AC169" s="42">
        <v>33865</v>
      </c>
      <c r="AD169" s="42">
        <v>34233</v>
      </c>
      <c r="AE169" s="53" t="s">
        <v>51</v>
      </c>
      <c r="AF169" s="54" t="s">
        <v>35</v>
      </c>
      <c r="AG169" s="54"/>
      <c r="AH169" s="39" t="s">
        <v>52</v>
      </c>
      <c r="AI169" s="39" t="s">
        <v>52</v>
      </c>
    </row>
    <row r="170" spans="1:35" ht="17" x14ac:dyDescent="0.2">
      <c r="A170">
        <v>318</v>
      </c>
      <c r="B170">
        <v>518</v>
      </c>
      <c r="C170" t="s">
        <v>4133</v>
      </c>
      <c r="D170" s="39" t="s">
        <v>2945</v>
      </c>
      <c r="E170" s="39" t="s">
        <v>2946</v>
      </c>
      <c r="F170" s="39" t="s">
        <v>35</v>
      </c>
      <c r="G170" s="39" t="s">
        <v>55</v>
      </c>
      <c r="H170" s="34"/>
      <c r="I170" s="39" t="s">
        <v>2947</v>
      </c>
      <c r="J170" s="39" t="s">
        <v>35</v>
      </c>
      <c r="K170" t="s">
        <v>2948</v>
      </c>
      <c r="L170" t="s">
        <v>551</v>
      </c>
      <c r="M170" s="6" t="s">
        <v>5919</v>
      </c>
      <c r="N170" t="s">
        <v>59</v>
      </c>
      <c r="O170" t="s">
        <v>49</v>
      </c>
      <c r="P170" s="35"/>
      <c r="Q170" t="s">
        <v>44</v>
      </c>
      <c r="R170" t="s">
        <v>2949</v>
      </c>
      <c r="S170" s="6" t="s">
        <v>4131</v>
      </c>
      <c r="T170" s="43" t="s">
        <v>2950</v>
      </c>
      <c r="U170" s="43" t="s">
        <v>102</v>
      </c>
      <c r="V170" t="s">
        <v>49</v>
      </c>
      <c r="W170" s="57"/>
      <c r="X170" s="57"/>
      <c r="Y170" t="s">
        <v>50</v>
      </c>
      <c r="Z170" s="39"/>
      <c r="AA170" s="39"/>
      <c r="AB170" t="s">
        <v>76</v>
      </c>
      <c r="AC170" s="42">
        <v>39602</v>
      </c>
      <c r="AD170" s="42">
        <v>40513</v>
      </c>
      <c r="AE170" s="53" t="s">
        <v>68</v>
      </c>
      <c r="AF170" s="54" t="s">
        <v>35</v>
      </c>
      <c r="AG170" s="54"/>
      <c r="AH170" s="39" t="s">
        <v>52</v>
      </c>
      <c r="AI170" s="39" t="s">
        <v>52</v>
      </c>
    </row>
    <row r="171" spans="1:35" ht="17" x14ac:dyDescent="0.2">
      <c r="A171">
        <v>549</v>
      </c>
      <c r="B171">
        <v>406</v>
      </c>
      <c r="C171" t="s">
        <v>4140</v>
      </c>
      <c r="D171" s="39" t="s">
        <v>2430</v>
      </c>
      <c r="E171" s="39" t="s">
        <v>2431</v>
      </c>
      <c r="F171" s="39" t="s">
        <v>35</v>
      </c>
      <c r="G171" s="39" t="s">
        <v>36</v>
      </c>
      <c r="H171" s="34"/>
      <c r="I171" s="39" t="s">
        <v>2432</v>
      </c>
      <c r="J171" s="39" t="s">
        <v>2433</v>
      </c>
      <c r="K171" t="s">
        <v>2434</v>
      </c>
      <c r="L171" t="s">
        <v>2435</v>
      </c>
      <c r="M171" s="6" t="s">
        <v>5920</v>
      </c>
      <c r="N171" t="s">
        <v>59</v>
      </c>
      <c r="O171" t="s">
        <v>42</v>
      </c>
      <c r="P171" s="35" t="s">
        <v>43</v>
      </c>
      <c r="Q171" t="s">
        <v>115</v>
      </c>
      <c r="R171" t="s">
        <v>2436</v>
      </c>
      <c r="S171" s="6" t="s">
        <v>6159</v>
      </c>
      <c r="T171" s="43" t="s">
        <v>1852</v>
      </c>
      <c r="U171" s="43" t="s">
        <v>1396</v>
      </c>
      <c r="V171" t="s">
        <v>1151</v>
      </c>
      <c r="W171" s="57"/>
      <c r="X171" s="57"/>
      <c r="Y171" t="s">
        <v>640</v>
      </c>
      <c r="Z171" s="39"/>
      <c r="AA171" s="39"/>
      <c r="AB171" t="s">
        <v>115</v>
      </c>
      <c r="AC171" s="42">
        <v>44075</v>
      </c>
      <c r="AD171" s="42">
        <v>44562</v>
      </c>
      <c r="AE171" s="53" t="s">
        <v>51</v>
      </c>
      <c r="AF171" s="54" t="s">
        <v>35</v>
      </c>
      <c r="AG171" s="54"/>
      <c r="AH171" s="39" t="s">
        <v>52</v>
      </c>
      <c r="AI171" s="39" t="s">
        <v>52</v>
      </c>
    </row>
    <row r="172" spans="1:35" ht="17" x14ac:dyDescent="0.2">
      <c r="A172">
        <v>542</v>
      </c>
      <c r="B172">
        <v>76</v>
      </c>
      <c r="C172" t="s">
        <v>5770</v>
      </c>
      <c r="D172" s="39" t="s">
        <v>626</v>
      </c>
      <c r="E172" s="39" t="s">
        <v>627</v>
      </c>
      <c r="F172" s="39" t="s">
        <v>35</v>
      </c>
      <c r="G172" s="39" t="s">
        <v>36</v>
      </c>
      <c r="I172" s="39" t="s">
        <v>628</v>
      </c>
      <c r="J172" s="39" t="s">
        <v>629</v>
      </c>
      <c r="K172" t="s">
        <v>630</v>
      </c>
      <c r="L172" s="49" t="s">
        <v>631</v>
      </c>
      <c r="M172" s="6" t="s">
        <v>5921</v>
      </c>
      <c r="N172" t="s">
        <v>131</v>
      </c>
      <c r="O172" t="s">
        <v>49</v>
      </c>
      <c r="P172" s="35" t="s">
        <v>50</v>
      </c>
      <c r="Q172" t="s">
        <v>62</v>
      </c>
      <c r="R172" t="s">
        <v>632</v>
      </c>
      <c r="S172" s="6" t="s">
        <v>6160</v>
      </c>
      <c r="T172" s="43" t="s">
        <v>48</v>
      </c>
      <c r="U172" s="43" t="s">
        <v>48</v>
      </c>
      <c r="V172" t="s">
        <v>49</v>
      </c>
      <c r="W172" s="57"/>
      <c r="X172" s="57"/>
      <c r="Y172" t="s">
        <v>50</v>
      </c>
      <c r="Z172" s="39"/>
      <c r="AA172" s="39"/>
      <c r="AB172" t="s">
        <v>100</v>
      </c>
      <c r="AE172" s="53" t="s">
        <v>633</v>
      </c>
      <c r="AF172" s="54" t="s">
        <v>35</v>
      </c>
      <c r="AG172" s="54"/>
      <c r="AH172" s="39" t="s">
        <v>52</v>
      </c>
      <c r="AI172" s="39" t="s">
        <v>70</v>
      </c>
    </row>
    <row r="173" spans="1:35" ht="17" x14ac:dyDescent="0.2">
      <c r="A173">
        <v>382</v>
      </c>
      <c r="B173">
        <v>139</v>
      </c>
      <c r="C173" t="s">
        <v>4142</v>
      </c>
      <c r="D173" s="39" t="s">
        <v>1040</v>
      </c>
      <c r="E173" s="39" t="s">
        <v>627</v>
      </c>
      <c r="F173" s="39" t="s">
        <v>35</v>
      </c>
      <c r="G173" s="39" t="s">
        <v>160</v>
      </c>
      <c r="I173" s="39" t="s">
        <v>1041</v>
      </c>
      <c r="J173" s="39" t="s">
        <v>1042</v>
      </c>
      <c r="K173" t="s">
        <v>1043</v>
      </c>
      <c r="L173" s="49" t="s">
        <v>58</v>
      </c>
      <c r="M173" s="6" t="s">
        <v>51</v>
      </c>
      <c r="N173" t="s">
        <v>59</v>
      </c>
      <c r="O173" t="s">
        <v>123</v>
      </c>
      <c r="P173" s="35" t="s">
        <v>99</v>
      </c>
      <c r="Q173" t="s">
        <v>62</v>
      </c>
      <c r="R173" t="s">
        <v>1044</v>
      </c>
      <c r="S173" s="6" t="s">
        <v>6161</v>
      </c>
      <c r="T173" s="43" t="s">
        <v>1045</v>
      </c>
      <c r="U173" s="43" t="s">
        <v>280</v>
      </c>
      <c r="V173" t="s">
        <v>60</v>
      </c>
      <c r="W173" s="57"/>
      <c r="X173" s="57"/>
      <c r="Y173" t="s">
        <v>61</v>
      </c>
      <c r="Z173" s="39"/>
      <c r="AA173" s="39"/>
      <c r="AB173" t="s">
        <v>62</v>
      </c>
      <c r="AC173" s="42">
        <v>41799</v>
      </c>
      <c r="AD173" s="42">
        <v>43024</v>
      </c>
      <c r="AE173" s="53" t="s">
        <v>157</v>
      </c>
      <c r="AF173" s="54" t="s">
        <v>35</v>
      </c>
      <c r="AG173" s="54"/>
      <c r="AH173" s="39" t="s">
        <v>70</v>
      </c>
      <c r="AI173" s="39" t="s">
        <v>52</v>
      </c>
    </row>
    <row r="174" spans="1:35" ht="17" x14ac:dyDescent="0.2">
      <c r="A174">
        <v>492</v>
      </c>
      <c r="B174">
        <v>259</v>
      </c>
      <c r="C174" t="s">
        <v>4146</v>
      </c>
      <c r="D174" s="39" t="s">
        <v>1703</v>
      </c>
      <c r="E174" s="39" t="s">
        <v>627</v>
      </c>
      <c r="F174" s="39" t="s">
        <v>35</v>
      </c>
      <c r="G174" s="39" t="s">
        <v>36</v>
      </c>
      <c r="I174" s="39" t="s">
        <v>35</v>
      </c>
      <c r="J174" s="39" t="s">
        <v>35</v>
      </c>
      <c r="K174" t="s">
        <v>1704</v>
      </c>
      <c r="L174" t="s">
        <v>1215</v>
      </c>
      <c r="M174" s="6" t="s">
        <v>4337</v>
      </c>
      <c r="N174" t="s">
        <v>97</v>
      </c>
      <c r="O174" t="s">
        <v>49</v>
      </c>
      <c r="P174" s="35" t="s">
        <v>50</v>
      </c>
      <c r="Q174" t="s">
        <v>62</v>
      </c>
      <c r="R174" t="s">
        <v>1705</v>
      </c>
      <c r="S174" s="6" t="s">
        <v>4047</v>
      </c>
      <c r="T174" s="43" t="s">
        <v>155</v>
      </c>
      <c r="U174" s="43" t="s">
        <v>1436</v>
      </c>
      <c r="V174" t="s">
        <v>49</v>
      </c>
      <c r="W174" s="57"/>
      <c r="X174" s="57"/>
      <c r="Y174" t="s">
        <v>50</v>
      </c>
      <c r="Z174" s="39"/>
      <c r="AA174" s="39"/>
      <c r="AB174" t="s">
        <v>44</v>
      </c>
      <c r="AC174" s="42">
        <v>43626</v>
      </c>
      <c r="AD174" s="42">
        <v>2022</v>
      </c>
      <c r="AE174" s="53" t="s">
        <v>51</v>
      </c>
      <c r="AF174" s="54" t="s">
        <v>35</v>
      </c>
      <c r="AG174" s="54"/>
      <c r="AH174" s="39" t="s">
        <v>52</v>
      </c>
      <c r="AI174" s="39" t="s">
        <v>52</v>
      </c>
    </row>
    <row r="175" spans="1:35" ht="17" x14ac:dyDescent="0.2">
      <c r="A175">
        <v>463</v>
      </c>
      <c r="B175">
        <v>301</v>
      </c>
      <c r="C175" t="s">
        <v>4149</v>
      </c>
      <c r="D175" s="39" t="s">
        <v>1897</v>
      </c>
      <c r="E175" s="39" t="s">
        <v>627</v>
      </c>
      <c r="F175" s="39" t="s">
        <v>35</v>
      </c>
      <c r="G175" s="39" t="s">
        <v>36</v>
      </c>
      <c r="I175" s="39" t="s">
        <v>1898</v>
      </c>
      <c r="J175" s="39" t="s">
        <v>35</v>
      </c>
      <c r="K175" t="s">
        <v>1899</v>
      </c>
      <c r="L175" t="s">
        <v>1900</v>
      </c>
      <c r="M175" s="6" t="s">
        <v>3501</v>
      </c>
      <c r="N175" t="s">
        <v>59</v>
      </c>
      <c r="O175" t="s">
        <v>565</v>
      </c>
      <c r="P175" s="35" t="s">
        <v>566</v>
      </c>
      <c r="Q175" t="s">
        <v>115</v>
      </c>
      <c r="R175" t="s">
        <v>1901</v>
      </c>
      <c r="S175" s="6" t="s">
        <v>3571</v>
      </c>
      <c r="T175" s="43" t="s">
        <v>1267</v>
      </c>
      <c r="U175" s="43" t="s">
        <v>614</v>
      </c>
      <c r="V175" t="s">
        <v>839</v>
      </c>
      <c r="W175" s="57"/>
      <c r="X175" s="57"/>
      <c r="Y175" t="s">
        <v>354</v>
      </c>
      <c r="Z175" s="39"/>
      <c r="AA175" s="39"/>
      <c r="AB175" t="s">
        <v>44</v>
      </c>
      <c r="AC175" s="42">
        <v>43115</v>
      </c>
      <c r="AD175" s="42">
        <v>43830</v>
      </c>
      <c r="AE175" s="53" t="s">
        <v>51</v>
      </c>
      <c r="AF175" s="54" t="s">
        <v>35</v>
      </c>
      <c r="AG175" s="54"/>
      <c r="AH175" s="39" t="s">
        <v>52</v>
      </c>
      <c r="AI175" s="39" t="s">
        <v>52</v>
      </c>
    </row>
    <row r="176" spans="1:35" ht="17" x14ac:dyDescent="0.2">
      <c r="A176">
        <v>301</v>
      </c>
      <c r="B176">
        <v>347</v>
      </c>
      <c r="C176" t="s">
        <v>4152</v>
      </c>
      <c r="D176" s="39" t="s">
        <v>2132</v>
      </c>
      <c r="E176" s="39" t="s">
        <v>627</v>
      </c>
      <c r="F176" s="39" t="s">
        <v>35</v>
      </c>
      <c r="G176" s="39" t="s">
        <v>36</v>
      </c>
      <c r="I176" s="39" t="s">
        <v>2133</v>
      </c>
      <c r="J176" s="39" t="s">
        <v>35</v>
      </c>
      <c r="K176" t="s">
        <v>2134</v>
      </c>
      <c r="L176" t="s">
        <v>2135</v>
      </c>
      <c r="M176" s="6" t="s">
        <v>5922</v>
      </c>
      <c r="N176" t="s">
        <v>86</v>
      </c>
      <c r="O176" t="s">
        <v>49</v>
      </c>
      <c r="P176" s="35" t="s">
        <v>50</v>
      </c>
      <c r="Q176" t="s">
        <v>76</v>
      </c>
      <c r="R176" t="s">
        <v>75</v>
      </c>
      <c r="S176" s="6" t="s">
        <v>4148</v>
      </c>
      <c r="T176" s="43" t="s">
        <v>255</v>
      </c>
      <c r="U176" s="43" t="s">
        <v>409</v>
      </c>
      <c r="V176" t="s">
        <v>639</v>
      </c>
      <c r="W176" s="57"/>
      <c r="X176" s="57"/>
      <c r="Y176" t="s">
        <v>640</v>
      </c>
      <c r="Z176" s="39"/>
      <c r="AA176" s="39"/>
      <c r="AB176" t="s">
        <v>76</v>
      </c>
      <c r="AC176" s="42">
        <v>39238</v>
      </c>
      <c r="AD176" s="42">
        <v>39692</v>
      </c>
      <c r="AE176" s="53" t="s">
        <v>425</v>
      </c>
      <c r="AF176" s="54" t="s">
        <v>35</v>
      </c>
      <c r="AG176" s="54"/>
      <c r="AH176" s="39" t="s">
        <v>52</v>
      </c>
      <c r="AI176" s="39" t="s">
        <v>70</v>
      </c>
    </row>
    <row r="177" spans="1:35" ht="17" x14ac:dyDescent="0.2">
      <c r="A177">
        <v>405</v>
      </c>
      <c r="B177">
        <v>391</v>
      </c>
      <c r="C177" t="s">
        <v>4158</v>
      </c>
      <c r="D177" s="39" t="s">
        <v>2366</v>
      </c>
      <c r="E177" s="39" t="s">
        <v>627</v>
      </c>
      <c r="F177" s="39" t="s">
        <v>35</v>
      </c>
      <c r="G177" s="39" t="s">
        <v>160</v>
      </c>
      <c r="I177" s="39" t="s">
        <v>2367</v>
      </c>
      <c r="J177" s="39" t="s">
        <v>35</v>
      </c>
      <c r="K177" t="s">
        <v>2368</v>
      </c>
      <c r="L177" t="s">
        <v>1383</v>
      </c>
      <c r="M177" s="6" t="s">
        <v>5923</v>
      </c>
      <c r="N177" t="s">
        <v>59</v>
      </c>
      <c r="O177" t="s">
        <v>49</v>
      </c>
      <c r="P177" s="35" t="s">
        <v>50</v>
      </c>
      <c r="Q177" t="s">
        <v>62</v>
      </c>
      <c r="R177" t="s">
        <v>1384</v>
      </c>
      <c r="S177" s="6" t="s">
        <v>6162</v>
      </c>
      <c r="T177" s="43" t="s">
        <v>48</v>
      </c>
      <c r="U177" s="43" t="s">
        <v>418</v>
      </c>
      <c r="V177" t="s">
        <v>49</v>
      </c>
      <c r="W177" s="57"/>
      <c r="X177" s="57"/>
      <c r="Y177" t="s">
        <v>50</v>
      </c>
      <c r="Z177" s="39"/>
      <c r="AA177" s="39"/>
      <c r="AB177" t="s">
        <v>62</v>
      </c>
      <c r="AC177" s="42">
        <v>42380</v>
      </c>
      <c r="AD177" s="42">
        <v>43227</v>
      </c>
      <c r="AE177" s="53" t="s">
        <v>239</v>
      </c>
      <c r="AF177" s="54" t="s">
        <v>35</v>
      </c>
      <c r="AG177" s="54"/>
      <c r="AH177" s="39" t="s">
        <v>70</v>
      </c>
      <c r="AI177" s="39" t="s">
        <v>52</v>
      </c>
    </row>
    <row r="178" spans="1:35" ht="17" x14ac:dyDescent="0.2">
      <c r="B178">
        <v>488</v>
      </c>
      <c r="C178" t="s">
        <v>5821</v>
      </c>
      <c r="D178" s="39" t="s">
        <v>2800</v>
      </c>
      <c r="E178" s="39" t="s">
        <v>627</v>
      </c>
      <c r="F178" s="39" t="s">
        <v>832</v>
      </c>
      <c r="G178" s="39" t="s">
        <v>82</v>
      </c>
      <c r="I178" s="39" t="s">
        <v>2801</v>
      </c>
      <c r="J178" s="39" t="s">
        <v>35</v>
      </c>
      <c r="K178" t="s">
        <v>2802</v>
      </c>
      <c r="L178" t="s">
        <v>2803</v>
      </c>
      <c r="M178" s="6" t="s">
        <v>5924</v>
      </c>
      <c r="N178" t="s">
        <v>86</v>
      </c>
      <c r="O178" t="s">
        <v>49</v>
      </c>
      <c r="P178" s="35" t="s">
        <v>50</v>
      </c>
      <c r="Q178" t="s">
        <v>115</v>
      </c>
      <c r="R178" t="s">
        <v>2804</v>
      </c>
      <c r="S178" s="6" t="s">
        <v>4155</v>
      </c>
      <c r="T178" s="43" t="s">
        <v>2805</v>
      </c>
      <c r="U178" s="43" t="s">
        <v>324</v>
      </c>
      <c r="V178" t="s">
        <v>49</v>
      </c>
      <c r="W178" s="57"/>
      <c r="X178" s="57"/>
      <c r="Y178" t="s">
        <v>50</v>
      </c>
      <c r="Z178" s="39"/>
      <c r="AA178" s="39"/>
      <c r="AB178" t="s">
        <v>115</v>
      </c>
      <c r="AC178" s="42">
        <v>38475</v>
      </c>
      <c r="AD178" s="42">
        <v>39479</v>
      </c>
      <c r="AE178" s="53" t="s">
        <v>239</v>
      </c>
      <c r="AF178" s="54" t="s">
        <v>35</v>
      </c>
      <c r="AG178" s="54"/>
      <c r="AH178" s="39" t="s">
        <v>70</v>
      </c>
      <c r="AI178" s="39" t="s">
        <v>52</v>
      </c>
    </row>
    <row r="179" spans="1:35" ht="17" x14ac:dyDescent="0.2">
      <c r="B179">
        <v>489</v>
      </c>
      <c r="C179" t="s">
        <v>5821</v>
      </c>
      <c r="D179" s="39" t="s">
        <v>2800</v>
      </c>
      <c r="E179" s="39" t="s">
        <v>627</v>
      </c>
      <c r="F179" s="39" t="s">
        <v>35</v>
      </c>
      <c r="G179" s="39" t="s">
        <v>82</v>
      </c>
      <c r="I179" s="39" t="s">
        <v>2806</v>
      </c>
      <c r="J179" s="39" t="s">
        <v>2807</v>
      </c>
      <c r="K179" t="s">
        <v>2808</v>
      </c>
      <c r="L179" t="s">
        <v>2804</v>
      </c>
      <c r="M179" s="6" t="s">
        <v>3501</v>
      </c>
      <c r="N179" t="s">
        <v>86</v>
      </c>
      <c r="O179" t="s">
        <v>49</v>
      </c>
      <c r="P179" s="35" t="s">
        <v>50</v>
      </c>
      <c r="Q179" t="s">
        <v>100</v>
      </c>
      <c r="R179" t="s">
        <v>2809</v>
      </c>
      <c r="S179" s="6" t="s">
        <v>3501</v>
      </c>
      <c r="T179" s="43" t="s">
        <v>307</v>
      </c>
      <c r="U179" s="43" t="s">
        <v>400</v>
      </c>
      <c r="V179" t="s">
        <v>49</v>
      </c>
      <c r="W179" s="57"/>
      <c r="X179" s="57"/>
      <c r="Y179" t="s">
        <v>50</v>
      </c>
      <c r="Z179" s="39"/>
      <c r="AA179" s="39"/>
      <c r="AB179" t="s">
        <v>44</v>
      </c>
      <c r="AC179" s="42">
        <v>38355</v>
      </c>
      <c r="AD179" s="42">
        <v>39449</v>
      </c>
      <c r="AE179" s="53" t="s">
        <v>239</v>
      </c>
      <c r="AF179" s="54" t="s">
        <v>35</v>
      </c>
      <c r="AG179" s="54"/>
      <c r="AH179" s="39" t="s">
        <v>70</v>
      </c>
      <c r="AI179" s="39" t="s">
        <v>52</v>
      </c>
    </row>
    <row r="180" spans="1:35" ht="17" x14ac:dyDescent="0.2">
      <c r="A180">
        <v>129</v>
      </c>
      <c r="B180">
        <v>513</v>
      </c>
      <c r="C180" t="s">
        <v>4160</v>
      </c>
      <c r="D180" s="39" t="s">
        <v>2921</v>
      </c>
      <c r="E180" s="39" t="s">
        <v>627</v>
      </c>
      <c r="F180" s="39" t="s">
        <v>35</v>
      </c>
      <c r="G180" s="39" t="s">
        <v>205</v>
      </c>
      <c r="I180" s="39" t="s">
        <v>2922</v>
      </c>
      <c r="J180" s="39" t="s">
        <v>35</v>
      </c>
      <c r="K180" t="s">
        <v>2923</v>
      </c>
      <c r="L180" t="s">
        <v>2924</v>
      </c>
      <c r="M180" s="6" t="s">
        <v>4148</v>
      </c>
      <c r="N180" t="s">
        <v>59</v>
      </c>
      <c r="O180" t="s">
        <v>49</v>
      </c>
      <c r="P180" s="35" t="s">
        <v>50</v>
      </c>
      <c r="Q180" t="s">
        <v>35</v>
      </c>
      <c r="R180" t="s">
        <v>2925</v>
      </c>
      <c r="S180" s="6" t="s">
        <v>3706</v>
      </c>
      <c r="T180" s="43" t="s">
        <v>246</v>
      </c>
      <c r="U180" s="43" t="s">
        <v>213</v>
      </c>
      <c r="V180" t="s">
        <v>49</v>
      </c>
      <c r="W180" s="57"/>
      <c r="X180" s="57"/>
      <c r="Y180" t="s">
        <v>50</v>
      </c>
      <c r="Z180" s="39"/>
      <c r="AA180" s="39"/>
      <c r="AB180" t="s">
        <v>76</v>
      </c>
      <c r="AC180" s="42">
        <v>35831</v>
      </c>
      <c r="AD180" s="42">
        <v>35990</v>
      </c>
      <c r="AE180" s="53" t="s">
        <v>51</v>
      </c>
      <c r="AF180" s="54" t="s">
        <v>35</v>
      </c>
      <c r="AG180" s="54"/>
      <c r="AH180" s="39" t="s">
        <v>52</v>
      </c>
      <c r="AI180" s="39" t="s">
        <v>52</v>
      </c>
    </row>
    <row r="181" spans="1:35" ht="17" x14ac:dyDescent="0.2">
      <c r="A181" t="s">
        <v>35</v>
      </c>
      <c r="B181">
        <v>537</v>
      </c>
      <c r="C181" t="s">
        <v>5826</v>
      </c>
      <c r="D181" s="39" t="s">
        <v>3044</v>
      </c>
      <c r="E181" s="39" t="s">
        <v>3045</v>
      </c>
      <c r="F181" s="39" t="s">
        <v>349</v>
      </c>
      <c r="G181" s="39" t="s">
        <v>55</v>
      </c>
      <c r="H181" s="34"/>
      <c r="I181" s="39" t="s">
        <v>3046</v>
      </c>
      <c r="J181" s="39" t="s">
        <v>35</v>
      </c>
      <c r="K181" t="s">
        <v>3047</v>
      </c>
      <c r="L181" t="s">
        <v>551</v>
      </c>
      <c r="M181" s="6" t="s">
        <v>5925</v>
      </c>
      <c r="N181" t="s">
        <v>97</v>
      </c>
      <c r="O181" t="s">
        <v>49</v>
      </c>
      <c r="P181" s="35" t="s">
        <v>50</v>
      </c>
      <c r="Q181" t="s">
        <v>35</v>
      </c>
      <c r="R181" t="s">
        <v>3048</v>
      </c>
      <c r="S181" s="6" t="s">
        <v>6163</v>
      </c>
      <c r="T181" s="43" t="s">
        <v>992</v>
      </c>
      <c r="U181" s="43" t="s">
        <v>3049</v>
      </c>
      <c r="V181" t="s">
        <v>2064</v>
      </c>
      <c r="W181" s="57"/>
      <c r="X181" s="57"/>
      <c r="Y181" t="s">
        <v>2051</v>
      </c>
      <c r="Z181" s="39"/>
      <c r="AA181" s="39"/>
      <c r="AB181" t="s">
        <v>44</v>
      </c>
      <c r="AC181" s="42">
        <v>40238</v>
      </c>
      <c r="AD181" s="42">
        <v>41244</v>
      </c>
      <c r="AE181" s="53" t="s">
        <v>157</v>
      </c>
      <c r="AF181" s="54" t="s">
        <v>35</v>
      </c>
      <c r="AG181" s="54"/>
      <c r="AH181" s="39" t="s">
        <v>70</v>
      </c>
      <c r="AI181" s="39" t="s">
        <v>52</v>
      </c>
    </row>
    <row r="182" spans="1:35" ht="17" x14ac:dyDescent="0.2">
      <c r="A182">
        <v>547</v>
      </c>
      <c r="B182">
        <v>319</v>
      </c>
      <c r="C182" t="s">
        <v>4167</v>
      </c>
      <c r="D182" s="39" t="s">
        <v>1992</v>
      </c>
      <c r="E182" s="39" t="s">
        <v>1993</v>
      </c>
      <c r="F182" s="39" t="s">
        <v>35</v>
      </c>
      <c r="G182" s="39" t="s">
        <v>36</v>
      </c>
      <c r="I182" s="39" t="s">
        <v>1994</v>
      </c>
      <c r="J182" s="39" t="s">
        <v>1995</v>
      </c>
      <c r="K182" t="s">
        <v>1996</v>
      </c>
      <c r="L182" t="s">
        <v>1997</v>
      </c>
      <c r="M182" s="6" t="s">
        <v>4166</v>
      </c>
      <c r="N182" t="s">
        <v>59</v>
      </c>
      <c r="O182" t="s">
        <v>1998</v>
      </c>
      <c r="P182" s="35" t="s">
        <v>99</v>
      </c>
      <c r="Q182" t="s">
        <v>35</v>
      </c>
      <c r="R182" t="s">
        <v>58</v>
      </c>
      <c r="S182" s="6" t="s">
        <v>3555</v>
      </c>
      <c r="T182" s="43" t="s">
        <v>534</v>
      </c>
      <c r="U182" s="43" t="s">
        <v>482</v>
      </c>
      <c r="V182" t="s">
        <v>190</v>
      </c>
      <c r="W182" s="57"/>
      <c r="X182" s="57"/>
      <c r="Y182" t="s">
        <v>191</v>
      </c>
      <c r="Z182" s="39"/>
      <c r="AA182" s="39"/>
      <c r="AB182" t="s">
        <v>62</v>
      </c>
      <c r="AD182" s="42" t="s">
        <v>35</v>
      </c>
      <c r="AE182" s="53" t="s">
        <v>51</v>
      </c>
      <c r="AF182" s="54" t="s">
        <v>35</v>
      </c>
      <c r="AG182" s="54"/>
      <c r="AH182" s="39" t="s">
        <v>52</v>
      </c>
      <c r="AI182" s="39" t="s">
        <v>52</v>
      </c>
    </row>
    <row r="183" spans="1:35" ht="17" x14ac:dyDescent="0.2">
      <c r="A183">
        <v>132</v>
      </c>
      <c r="B183">
        <v>41</v>
      </c>
      <c r="C183" t="s">
        <v>4168</v>
      </c>
      <c r="D183" s="39" t="s">
        <v>389</v>
      </c>
      <c r="E183" s="39" t="s">
        <v>390</v>
      </c>
      <c r="F183" s="39" t="s">
        <v>35</v>
      </c>
      <c r="G183" s="39" t="s">
        <v>205</v>
      </c>
      <c r="I183" s="39" t="s">
        <v>391</v>
      </c>
      <c r="J183" s="39" t="s">
        <v>35</v>
      </c>
      <c r="K183" t="s">
        <v>392</v>
      </c>
      <c r="L183" t="s">
        <v>393</v>
      </c>
      <c r="M183" s="6" t="s">
        <v>35</v>
      </c>
      <c r="N183" t="s">
        <v>59</v>
      </c>
      <c r="O183" t="s">
        <v>42</v>
      </c>
      <c r="P183" s="35" t="s">
        <v>43</v>
      </c>
      <c r="Q183" t="s">
        <v>44</v>
      </c>
      <c r="R183" t="s">
        <v>394</v>
      </c>
      <c r="S183" s="6" t="s">
        <v>35</v>
      </c>
      <c r="T183" s="43" t="s">
        <v>395</v>
      </c>
      <c r="U183" s="43" t="s">
        <v>299</v>
      </c>
      <c r="V183" t="s">
        <v>42</v>
      </c>
      <c r="W183" s="57"/>
      <c r="X183" s="57"/>
      <c r="Y183" t="s">
        <v>43</v>
      </c>
      <c r="Z183" s="39"/>
      <c r="AA183" s="39"/>
      <c r="AB183" t="s">
        <v>44</v>
      </c>
      <c r="AC183" s="42">
        <v>36082</v>
      </c>
      <c r="AD183" s="42">
        <v>36933</v>
      </c>
      <c r="AE183" s="53" t="s">
        <v>157</v>
      </c>
      <c r="AF183" s="54" t="s">
        <v>35</v>
      </c>
      <c r="AG183" s="54"/>
      <c r="AH183" s="39" t="s">
        <v>70</v>
      </c>
      <c r="AI183" s="39" t="s">
        <v>52</v>
      </c>
    </row>
    <row r="184" spans="1:35" ht="17" x14ac:dyDescent="0.2">
      <c r="A184">
        <v>22</v>
      </c>
      <c r="B184">
        <v>134</v>
      </c>
      <c r="C184" t="s">
        <v>4173</v>
      </c>
      <c r="D184" s="39" t="s">
        <v>1012</v>
      </c>
      <c r="E184" s="39" t="s">
        <v>390</v>
      </c>
      <c r="F184" s="39" t="s">
        <v>35</v>
      </c>
      <c r="G184" s="39" t="s">
        <v>194</v>
      </c>
      <c r="I184" s="39" t="s">
        <v>1013</v>
      </c>
      <c r="J184" s="39" t="s">
        <v>35</v>
      </c>
      <c r="K184" t="s">
        <v>1014</v>
      </c>
      <c r="L184" s="49" t="s">
        <v>1015</v>
      </c>
      <c r="M184" s="6" t="s">
        <v>5926</v>
      </c>
      <c r="N184" t="s">
        <v>86</v>
      </c>
      <c r="O184" t="s">
        <v>42</v>
      </c>
      <c r="P184" s="35" t="s">
        <v>43</v>
      </c>
      <c r="Q184" t="s">
        <v>44</v>
      </c>
      <c r="R184" t="s">
        <v>1016</v>
      </c>
      <c r="S184" s="6" t="s">
        <v>6164</v>
      </c>
      <c r="T184" s="43" t="s">
        <v>409</v>
      </c>
      <c r="U184" s="43" t="s">
        <v>459</v>
      </c>
      <c r="W184" s="57"/>
      <c r="X184" s="57"/>
      <c r="Z184" s="39"/>
      <c r="AA184" s="39"/>
      <c r="AB184" t="s">
        <v>44</v>
      </c>
      <c r="AC184" s="42">
        <v>33240</v>
      </c>
      <c r="AD184" s="42">
        <v>33602</v>
      </c>
      <c r="AE184" s="53" t="s">
        <v>51</v>
      </c>
      <c r="AF184" s="54" t="s">
        <v>35</v>
      </c>
      <c r="AG184" s="54"/>
      <c r="AH184" s="39" t="s">
        <v>52</v>
      </c>
      <c r="AI184" s="39" t="s">
        <v>52</v>
      </c>
    </row>
    <row r="185" spans="1:35" ht="17" x14ac:dyDescent="0.2">
      <c r="A185">
        <v>177</v>
      </c>
      <c r="B185">
        <v>258</v>
      </c>
      <c r="C185" t="s">
        <v>4177</v>
      </c>
      <c r="D185" s="39" t="s">
        <v>1695</v>
      </c>
      <c r="E185" s="39" t="s">
        <v>390</v>
      </c>
      <c r="F185" s="39" t="s">
        <v>35</v>
      </c>
      <c r="G185" s="39" t="s">
        <v>82</v>
      </c>
      <c r="I185" s="39" t="s">
        <v>1696</v>
      </c>
      <c r="J185" s="39" t="s">
        <v>35</v>
      </c>
      <c r="K185" t="s">
        <v>1697</v>
      </c>
      <c r="L185" t="s">
        <v>1698</v>
      </c>
      <c r="M185" s="6" t="s">
        <v>5927</v>
      </c>
      <c r="N185" t="s">
        <v>59</v>
      </c>
      <c r="O185" t="s">
        <v>1699</v>
      </c>
      <c r="P185" s="35" t="s">
        <v>50</v>
      </c>
      <c r="Q185" t="s">
        <v>35</v>
      </c>
      <c r="R185" t="s">
        <v>1700</v>
      </c>
      <c r="S185" s="6" t="s">
        <v>4172</v>
      </c>
      <c r="T185" s="43" t="s">
        <v>1701</v>
      </c>
      <c r="U185" s="43" t="s">
        <v>1702</v>
      </c>
      <c r="V185" t="s">
        <v>49</v>
      </c>
      <c r="W185" s="57"/>
      <c r="X185" s="57"/>
      <c r="Y185" t="s">
        <v>50</v>
      </c>
      <c r="Z185" s="39"/>
      <c r="AA185" s="39"/>
      <c r="AB185" t="s">
        <v>44</v>
      </c>
      <c r="AC185" s="42">
        <v>37013</v>
      </c>
      <c r="AD185" s="42">
        <v>38007</v>
      </c>
      <c r="AE185" s="53" t="s">
        <v>239</v>
      </c>
      <c r="AF185" s="54" t="s">
        <v>35</v>
      </c>
      <c r="AG185" s="54"/>
      <c r="AH185" s="39" t="s">
        <v>70</v>
      </c>
      <c r="AI185" s="39" t="s">
        <v>52</v>
      </c>
    </row>
    <row r="186" spans="1:35" ht="17" x14ac:dyDescent="0.2">
      <c r="A186">
        <v>274</v>
      </c>
      <c r="B186">
        <v>364</v>
      </c>
      <c r="C186" t="s">
        <v>4184</v>
      </c>
      <c r="D186" s="39" t="s">
        <v>2223</v>
      </c>
      <c r="E186" s="39" t="s">
        <v>390</v>
      </c>
      <c r="F186" s="39" t="s">
        <v>35</v>
      </c>
      <c r="G186" s="39" t="s">
        <v>82</v>
      </c>
      <c r="I186" s="39" t="s">
        <v>2224</v>
      </c>
      <c r="J186" s="39" t="s">
        <v>2225</v>
      </c>
      <c r="K186" t="s">
        <v>2226</v>
      </c>
      <c r="L186" t="s">
        <v>2227</v>
      </c>
      <c r="M186" s="6" t="s">
        <v>153</v>
      </c>
      <c r="N186" t="s">
        <v>86</v>
      </c>
      <c r="O186" t="s">
        <v>49</v>
      </c>
      <c r="P186" s="35" t="s">
        <v>50</v>
      </c>
      <c r="Q186" t="s">
        <v>35</v>
      </c>
      <c r="R186" t="s">
        <v>657</v>
      </c>
      <c r="S186" s="6" t="s">
        <v>4175</v>
      </c>
      <c r="T186" s="43" t="s">
        <v>307</v>
      </c>
      <c r="U186" s="43" t="s">
        <v>494</v>
      </c>
      <c r="V186" t="s">
        <v>42</v>
      </c>
      <c r="W186" s="57"/>
      <c r="X186" s="57"/>
      <c r="Y186" t="s">
        <v>43</v>
      </c>
      <c r="Z186" s="39"/>
      <c r="AA186" s="39"/>
      <c r="AB186" t="s">
        <v>44</v>
      </c>
      <c r="AC186" s="42">
        <v>38732</v>
      </c>
      <c r="AD186" s="42">
        <v>39406</v>
      </c>
      <c r="AE186" s="53" t="s">
        <v>51</v>
      </c>
      <c r="AF186" s="54" t="s">
        <v>35</v>
      </c>
      <c r="AG186" s="54"/>
      <c r="AH186" s="39" t="s">
        <v>52</v>
      </c>
      <c r="AI186" s="39" t="s">
        <v>52</v>
      </c>
    </row>
    <row r="187" spans="1:35" ht="17" x14ac:dyDescent="0.2">
      <c r="A187">
        <v>54</v>
      </c>
      <c r="B187">
        <v>529</v>
      </c>
      <c r="C187" t="s">
        <v>4187</v>
      </c>
      <c r="D187" s="39" t="s">
        <v>3004</v>
      </c>
      <c r="E187" s="39" t="s">
        <v>390</v>
      </c>
      <c r="F187" s="39" t="s">
        <v>35</v>
      </c>
      <c r="G187" s="39" t="s">
        <v>194</v>
      </c>
      <c r="H187" s="34"/>
      <c r="I187" s="39" t="s">
        <v>3005</v>
      </c>
      <c r="J187" s="39" t="s">
        <v>35</v>
      </c>
      <c r="K187" t="s">
        <v>1817</v>
      </c>
      <c r="L187" t="s">
        <v>3006</v>
      </c>
      <c r="M187" s="6" t="s">
        <v>5928</v>
      </c>
      <c r="N187" t="s">
        <v>97</v>
      </c>
      <c r="O187" t="s">
        <v>198</v>
      </c>
      <c r="P187" s="35" t="s">
        <v>199</v>
      </c>
      <c r="Q187" t="s">
        <v>62</v>
      </c>
      <c r="R187" t="s">
        <v>3007</v>
      </c>
      <c r="S187" s="6" t="s">
        <v>4183</v>
      </c>
      <c r="T187" s="43" t="s">
        <v>860</v>
      </c>
      <c r="U187" s="43" t="s">
        <v>324</v>
      </c>
      <c r="V187" t="s">
        <v>49</v>
      </c>
      <c r="W187" s="57"/>
      <c r="X187" s="57"/>
      <c r="Y187" t="s">
        <v>50</v>
      </c>
      <c r="Z187" s="39"/>
      <c r="AA187" s="39"/>
      <c r="AB187" t="s">
        <v>1627</v>
      </c>
      <c r="AC187" s="42">
        <v>33240</v>
      </c>
      <c r="AD187" s="42">
        <v>33602</v>
      </c>
      <c r="AE187" s="53" t="s">
        <v>51</v>
      </c>
      <c r="AF187" s="54" t="s">
        <v>35</v>
      </c>
      <c r="AG187" s="54"/>
      <c r="AH187" s="39" t="s">
        <v>52</v>
      </c>
      <c r="AI187" s="39" t="s">
        <v>52</v>
      </c>
    </row>
    <row r="188" spans="1:35" ht="34" x14ac:dyDescent="0.2">
      <c r="A188" t="s">
        <v>35</v>
      </c>
      <c r="B188">
        <v>14</v>
      </c>
      <c r="C188" t="s">
        <v>5756</v>
      </c>
      <c r="D188" s="39" t="s">
        <v>184</v>
      </c>
      <c r="E188" s="39" t="s">
        <v>185</v>
      </c>
      <c r="F188" s="39" t="s">
        <v>35</v>
      </c>
      <c r="G188" s="39" t="s">
        <v>160</v>
      </c>
      <c r="I188" s="39" t="s">
        <v>186</v>
      </c>
      <c r="J188" s="39" t="s">
        <v>35</v>
      </c>
      <c r="K188" t="s">
        <v>187</v>
      </c>
      <c r="L188" t="s">
        <v>39</v>
      </c>
      <c r="M188" s="6" t="s">
        <v>5929</v>
      </c>
      <c r="N188" t="s">
        <v>59</v>
      </c>
      <c r="O188" t="s">
        <v>42</v>
      </c>
      <c r="P188" s="35" t="s">
        <v>43</v>
      </c>
      <c r="Q188" t="s">
        <v>44</v>
      </c>
      <c r="R188" t="s">
        <v>188</v>
      </c>
      <c r="S188" s="6" t="s">
        <v>6165</v>
      </c>
      <c r="T188" s="43" t="s">
        <v>66</v>
      </c>
      <c r="U188" s="43" t="s">
        <v>189</v>
      </c>
      <c r="V188" t="s">
        <v>190</v>
      </c>
      <c r="W188" s="57"/>
      <c r="X188" s="57"/>
      <c r="Y188" t="s">
        <v>191</v>
      </c>
      <c r="Z188" s="39"/>
      <c r="AA188" s="39"/>
      <c r="AB188" t="s">
        <v>44</v>
      </c>
      <c r="AC188" s="42">
        <v>40544</v>
      </c>
      <c r="AD188" s="42">
        <v>41061</v>
      </c>
      <c r="AE188" s="53" t="s">
        <v>51</v>
      </c>
      <c r="AF188" s="54" t="s">
        <v>35</v>
      </c>
      <c r="AG188" s="54"/>
      <c r="AH188" s="39" t="s">
        <v>52</v>
      </c>
      <c r="AI188" s="39" t="s">
        <v>52</v>
      </c>
    </row>
    <row r="189" spans="1:35" ht="17" x14ac:dyDescent="0.2">
      <c r="A189">
        <v>190</v>
      </c>
      <c r="B189">
        <v>381</v>
      </c>
      <c r="C189" t="s">
        <v>4191</v>
      </c>
      <c r="D189" s="39" t="s">
        <v>2309</v>
      </c>
      <c r="E189" s="39" t="s">
        <v>185</v>
      </c>
      <c r="F189" s="39" t="s">
        <v>35</v>
      </c>
      <c r="G189" s="39" t="s">
        <v>205</v>
      </c>
      <c r="I189" s="39" t="s">
        <v>2310</v>
      </c>
      <c r="J189" s="39" t="s">
        <v>35</v>
      </c>
      <c r="K189" t="s">
        <v>2311</v>
      </c>
      <c r="L189" t="s">
        <v>2312</v>
      </c>
      <c r="M189" s="6" t="s">
        <v>3501</v>
      </c>
      <c r="N189" s="36" t="s">
        <v>86</v>
      </c>
      <c r="O189" t="s">
        <v>2313</v>
      </c>
      <c r="P189" s="35" t="s">
        <v>50</v>
      </c>
      <c r="Q189" t="s">
        <v>911</v>
      </c>
      <c r="R189" t="s">
        <v>263</v>
      </c>
      <c r="S189" s="6" t="s">
        <v>2364</v>
      </c>
      <c r="T189" s="43" t="s">
        <v>1809</v>
      </c>
      <c r="U189" s="43" t="s">
        <v>1572</v>
      </c>
      <c r="W189" s="57"/>
      <c r="X189" s="57"/>
      <c r="Z189" s="39"/>
      <c r="AA189" s="39"/>
      <c r="AB189" t="s">
        <v>62</v>
      </c>
      <c r="AC189" s="42">
        <v>37013</v>
      </c>
      <c r="AD189" s="42">
        <v>37649</v>
      </c>
      <c r="AE189" s="53" t="s">
        <v>51</v>
      </c>
      <c r="AF189" s="54" t="s">
        <v>35</v>
      </c>
      <c r="AG189" s="54"/>
      <c r="AH189" s="39" t="s">
        <v>52</v>
      </c>
      <c r="AI189" s="39" t="s">
        <v>52</v>
      </c>
    </row>
    <row r="190" spans="1:35" ht="34" x14ac:dyDescent="0.2">
      <c r="A190">
        <v>527</v>
      </c>
      <c r="B190">
        <v>129</v>
      </c>
      <c r="C190" t="s">
        <v>5778</v>
      </c>
      <c r="D190" s="39" t="s">
        <v>976</v>
      </c>
      <c r="E190" s="39" t="s">
        <v>977</v>
      </c>
      <c r="F190" s="39" t="s">
        <v>35</v>
      </c>
      <c r="G190" s="39" t="s">
        <v>36</v>
      </c>
      <c r="I190" s="39" t="s">
        <v>978</v>
      </c>
      <c r="J190" s="39" t="s">
        <v>35</v>
      </c>
      <c r="K190" t="s">
        <v>979</v>
      </c>
      <c r="L190" s="49" t="s">
        <v>930</v>
      </c>
      <c r="M190" s="6" t="s">
        <v>5930</v>
      </c>
      <c r="N190" t="s">
        <v>131</v>
      </c>
      <c r="O190" t="s">
        <v>49</v>
      </c>
      <c r="P190" s="35" t="s">
        <v>50</v>
      </c>
      <c r="Q190" t="s">
        <v>980</v>
      </c>
      <c r="R190" t="s">
        <v>981</v>
      </c>
      <c r="S190" s="6" t="s">
        <v>6166</v>
      </c>
      <c r="T190" s="43" t="s">
        <v>48</v>
      </c>
      <c r="U190" s="43" t="s">
        <v>494</v>
      </c>
      <c r="V190" t="s">
        <v>982</v>
      </c>
      <c r="W190" s="57"/>
      <c r="X190" s="57"/>
      <c r="Y190" t="s">
        <v>983</v>
      </c>
      <c r="Z190" s="39"/>
      <c r="AA190" s="39"/>
      <c r="AB190" t="s">
        <v>980</v>
      </c>
      <c r="AC190" s="42">
        <v>43833</v>
      </c>
      <c r="AD190" s="42">
        <v>44938</v>
      </c>
      <c r="AE190" s="53" t="s">
        <v>984</v>
      </c>
      <c r="AF190" s="54" t="s">
        <v>35</v>
      </c>
      <c r="AG190" s="54"/>
      <c r="AH190" s="39" t="s">
        <v>52</v>
      </c>
      <c r="AI190" s="39" t="s">
        <v>70</v>
      </c>
    </row>
    <row r="191" spans="1:35" ht="17" x14ac:dyDescent="0.2">
      <c r="A191">
        <v>546</v>
      </c>
      <c r="B191">
        <v>300</v>
      </c>
      <c r="C191" t="s">
        <v>4195</v>
      </c>
      <c r="D191" s="39" t="s">
        <v>1891</v>
      </c>
      <c r="E191" s="39" t="s">
        <v>977</v>
      </c>
      <c r="F191" s="39" t="s">
        <v>35</v>
      </c>
      <c r="G191" s="39" t="s">
        <v>36</v>
      </c>
      <c r="I191" s="39" t="s">
        <v>1892</v>
      </c>
      <c r="J191" s="39" t="s">
        <v>1893</v>
      </c>
      <c r="K191" t="s">
        <v>1894</v>
      </c>
      <c r="L191" t="s">
        <v>1895</v>
      </c>
      <c r="M191" s="6" t="s">
        <v>4194</v>
      </c>
      <c r="N191" t="s">
        <v>97</v>
      </c>
      <c r="O191" t="s">
        <v>49</v>
      </c>
      <c r="P191" s="35" t="s">
        <v>50</v>
      </c>
      <c r="Q191" t="s">
        <v>62</v>
      </c>
      <c r="R191" t="s">
        <v>1896</v>
      </c>
      <c r="S191" s="6" t="s">
        <v>3555</v>
      </c>
      <c r="T191" s="43" t="s">
        <v>155</v>
      </c>
      <c r="U191" s="43" t="s">
        <v>1396</v>
      </c>
      <c r="V191" t="s">
        <v>49</v>
      </c>
      <c r="W191" s="57"/>
      <c r="X191" s="57"/>
      <c r="Y191" t="s">
        <v>50</v>
      </c>
      <c r="Z191" s="39"/>
      <c r="AA191" s="39"/>
      <c r="AB191" t="s">
        <v>44</v>
      </c>
      <c r="AC191" s="42">
        <v>44013</v>
      </c>
      <c r="AD191" s="42">
        <v>45170</v>
      </c>
      <c r="AE191" s="53" t="s">
        <v>239</v>
      </c>
      <c r="AF191" s="54" t="s">
        <v>730</v>
      </c>
      <c r="AG191" s="54"/>
      <c r="AH191" s="39" t="s">
        <v>70</v>
      </c>
      <c r="AI191" s="39" t="s">
        <v>70</v>
      </c>
    </row>
    <row r="192" spans="1:35" ht="17" x14ac:dyDescent="0.2">
      <c r="A192">
        <v>247</v>
      </c>
      <c r="B192">
        <v>106</v>
      </c>
      <c r="C192" t="s">
        <v>4196</v>
      </c>
      <c r="D192" s="39" t="s">
        <v>819</v>
      </c>
      <c r="E192" s="39" t="s">
        <v>820</v>
      </c>
      <c r="F192" s="39" t="s">
        <v>35</v>
      </c>
      <c r="G192" s="39" t="s">
        <v>82</v>
      </c>
      <c r="I192" s="39" t="s">
        <v>821</v>
      </c>
      <c r="J192" s="39" t="s">
        <v>35</v>
      </c>
      <c r="K192" t="s">
        <v>822</v>
      </c>
      <c r="L192" s="49" t="s">
        <v>823</v>
      </c>
      <c r="M192" s="6" t="s">
        <v>5931</v>
      </c>
      <c r="N192" t="s">
        <v>59</v>
      </c>
      <c r="O192" t="s">
        <v>190</v>
      </c>
      <c r="P192" s="35" t="s">
        <v>50</v>
      </c>
      <c r="Q192" t="s">
        <v>44</v>
      </c>
      <c r="R192" t="s">
        <v>824</v>
      </c>
      <c r="S192" s="6" t="s">
        <v>6167</v>
      </c>
      <c r="T192" s="43" t="s">
        <v>825</v>
      </c>
      <c r="U192" s="43" t="s">
        <v>826</v>
      </c>
      <c r="V192" t="s">
        <v>42</v>
      </c>
      <c r="W192" s="57"/>
      <c r="X192" s="57"/>
      <c r="Y192" t="s">
        <v>43</v>
      </c>
      <c r="Z192" s="39"/>
      <c r="AA192" s="39"/>
      <c r="AB192" t="s">
        <v>44</v>
      </c>
      <c r="AC192" s="42">
        <v>38159</v>
      </c>
      <c r="AD192" s="42">
        <v>39225</v>
      </c>
      <c r="AE192" s="53" t="s">
        <v>51</v>
      </c>
      <c r="AF192" s="54" t="s">
        <v>35</v>
      </c>
      <c r="AG192" s="54"/>
      <c r="AH192" s="39" t="s">
        <v>52</v>
      </c>
      <c r="AI192" s="39" t="s">
        <v>52</v>
      </c>
    </row>
    <row r="193" spans="1:35" ht="17" x14ac:dyDescent="0.2">
      <c r="A193">
        <v>242</v>
      </c>
      <c r="B193">
        <v>161</v>
      </c>
      <c r="C193" t="s">
        <v>4199</v>
      </c>
      <c r="D193" s="39" t="s">
        <v>1162</v>
      </c>
      <c r="E193" s="39" t="s">
        <v>1163</v>
      </c>
      <c r="F193" s="39" t="s">
        <v>35</v>
      </c>
      <c r="G193" s="39" t="s">
        <v>82</v>
      </c>
      <c r="I193" s="39" t="s">
        <v>1164</v>
      </c>
      <c r="J193" s="39" t="s">
        <v>35</v>
      </c>
      <c r="K193" t="s">
        <v>1165</v>
      </c>
      <c r="L193" s="49" t="s">
        <v>1166</v>
      </c>
      <c r="M193" s="6" t="s">
        <v>5932</v>
      </c>
      <c r="N193" t="s">
        <v>41</v>
      </c>
      <c r="P193" s="35"/>
      <c r="Q193" t="s">
        <v>115</v>
      </c>
      <c r="R193" t="s">
        <v>1167</v>
      </c>
      <c r="S193" s="6" t="s">
        <v>6168</v>
      </c>
      <c r="T193" s="43" t="s">
        <v>238</v>
      </c>
      <c r="U193" s="43" t="s">
        <v>935</v>
      </c>
      <c r="V193" t="s">
        <v>399</v>
      </c>
      <c r="W193" s="57"/>
      <c r="X193" s="57"/>
      <c r="Y193" t="s">
        <v>50</v>
      </c>
      <c r="Z193" s="39"/>
      <c r="AA193" s="39"/>
      <c r="AB193" t="s">
        <v>911</v>
      </c>
      <c r="AC193" s="42">
        <v>38007</v>
      </c>
      <c r="AD193" s="42">
        <v>38860</v>
      </c>
      <c r="AE193" s="53" t="s">
        <v>68</v>
      </c>
      <c r="AF193" s="54" t="s">
        <v>35</v>
      </c>
      <c r="AG193" s="54"/>
      <c r="AH193" s="39" t="s">
        <v>70</v>
      </c>
      <c r="AI193" s="39" t="s">
        <v>52</v>
      </c>
    </row>
    <row r="194" spans="1:35" ht="17" x14ac:dyDescent="0.2">
      <c r="A194">
        <v>266</v>
      </c>
      <c r="B194">
        <v>497</v>
      </c>
      <c r="C194" t="s">
        <v>4205</v>
      </c>
      <c r="D194" s="39" t="s">
        <v>2840</v>
      </c>
      <c r="E194" s="39" t="s">
        <v>1163</v>
      </c>
      <c r="F194" s="39" t="s">
        <v>35</v>
      </c>
      <c r="G194" s="39" t="s">
        <v>82</v>
      </c>
      <c r="I194" s="39" t="s">
        <v>2841</v>
      </c>
      <c r="J194" s="39" t="s">
        <v>35</v>
      </c>
      <c r="K194" t="s">
        <v>2842</v>
      </c>
      <c r="L194" t="s">
        <v>2843</v>
      </c>
      <c r="M194" s="6" t="s">
        <v>5933</v>
      </c>
      <c r="N194" t="s">
        <v>86</v>
      </c>
      <c r="P194" s="35" t="s">
        <v>356</v>
      </c>
      <c r="Q194" t="s">
        <v>1627</v>
      </c>
      <c r="R194" t="s">
        <v>2843</v>
      </c>
      <c r="S194" s="6" t="s">
        <v>157</v>
      </c>
      <c r="T194" s="43" t="s">
        <v>445</v>
      </c>
      <c r="U194" s="43" t="s">
        <v>2323</v>
      </c>
      <c r="V194" t="s">
        <v>565</v>
      </c>
      <c r="W194" s="57"/>
      <c r="X194" s="57"/>
      <c r="Y194" t="s">
        <v>566</v>
      </c>
      <c r="Z194" s="39"/>
      <c r="AA194" s="39"/>
      <c r="AB194" t="s">
        <v>980</v>
      </c>
      <c r="AC194" s="42">
        <v>38475</v>
      </c>
      <c r="AD194" s="42">
        <v>38718</v>
      </c>
      <c r="AE194" s="53" t="s">
        <v>51</v>
      </c>
      <c r="AF194" s="54" t="s">
        <v>35</v>
      </c>
      <c r="AG194" s="54"/>
      <c r="AH194" s="39" t="s">
        <v>52</v>
      </c>
      <c r="AI194" s="39" t="s">
        <v>52</v>
      </c>
    </row>
    <row r="195" spans="1:35" ht="17" x14ac:dyDescent="0.2">
      <c r="A195">
        <v>150</v>
      </c>
      <c r="B195">
        <v>548</v>
      </c>
      <c r="C195" t="s">
        <v>4210</v>
      </c>
      <c r="D195" s="39" t="s">
        <v>3096</v>
      </c>
      <c r="E195" s="39" t="s">
        <v>1163</v>
      </c>
      <c r="F195" s="39" t="s">
        <v>35</v>
      </c>
      <c r="G195" s="39" t="s">
        <v>205</v>
      </c>
      <c r="I195" s="39" t="s">
        <v>3097</v>
      </c>
      <c r="J195" s="39" t="s">
        <v>35</v>
      </c>
      <c r="K195" t="s">
        <v>3098</v>
      </c>
      <c r="L195" t="s">
        <v>3099</v>
      </c>
      <c r="M195" s="6" t="s">
        <v>5934</v>
      </c>
      <c r="N195" t="s">
        <v>86</v>
      </c>
      <c r="O195" t="s">
        <v>60</v>
      </c>
      <c r="P195" s="35" t="s">
        <v>61</v>
      </c>
      <c r="Q195" t="s">
        <v>76</v>
      </c>
      <c r="R195" t="s">
        <v>3100</v>
      </c>
      <c r="S195" s="6" t="s">
        <v>6169</v>
      </c>
      <c r="T195" s="43" t="s">
        <v>3101</v>
      </c>
      <c r="U195" s="43" t="s">
        <v>625</v>
      </c>
      <c r="V195" t="s">
        <v>60</v>
      </c>
      <c r="W195" s="57"/>
      <c r="X195" s="57"/>
      <c r="Y195" t="s">
        <v>61</v>
      </c>
      <c r="Z195" s="39"/>
      <c r="AA195" s="39"/>
      <c r="AB195" t="s">
        <v>62</v>
      </c>
      <c r="AC195" s="42">
        <v>36280</v>
      </c>
      <c r="AD195" s="42">
        <v>37649</v>
      </c>
      <c r="AE195" s="53" t="s">
        <v>116</v>
      </c>
      <c r="AF195" s="54" t="s">
        <v>35</v>
      </c>
      <c r="AG195" s="54"/>
      <c r="AH195" s="39" t="s">
        <v>52</v>
      </c>
      <c r="AI195" s="39" t="s">
        <v>52</v>
      </c>
    </row>
    <row r="196" spans="1:35" ht="17" x14ac:dyDescent="0.2">
      <c r="A196">
        <v>211</v>
      </c>
      <c r="B196">
        <v>291</v>
      </c>
      <c r="C196" t="s">
        <v>4214</v>
      </c>
      <c r="D196" s="39" t="s">
        <v>1842</v>
      </c>
      <c r="E196" s="39" t="s">
        <v>1843</v>
      </c>
      <c r="F196" s="39" t="s">
        <v>35</v>
      </c>
      <c r="G196" s="39" t="s">
        <v>82</v>
      </c>
      <c r="I196" s="39" t="s">
        <v>1844</v>
      </c>
      <c r="J196" s="39" t="s">
        <v>35</v>
      </c>
      <c r="K196" t="s">
        <v>1845</v>
      </c>
      <c r="L196" t="s">
        <v>521</v>
      </c>
      <c r="M196" s="6" t="s">
        <v>5935</v>
      </c>
      <c r="N196" t="s">
        <v>59</v>
      </c>
      <c r="O196" t="s">
        <v>49</v>
      </c>
      <c r="P196" s="35" t="s">
        <v>50</v>
      </c>
      <c r="Q196" t="s">
        <v>44</v>
      </c>
      <c r="R196" t="s">
        <v>1846</v>
      </c>
      <c r="S196" s="6" t="s">
        <v>6170</v>
      </c>
      <c r="T196" s="43" t="s">
        <v>330</v>
      </c>
      <c r="U196" s="43" t="s">
        <v>400</v>
      </c>
      <c r="V196" t="s">
        <v>49</v>
      </c>
      <c r="W196" s="57"/>
      <c r="X196" s="57"/>
      <c r="Y196" t="s">
        <v>50</v>
      </c>
      <c r="Z196" s="39"/>
      <c r="AA196" s="39"/>
      <c r="AB196" t="s">
        <v>44</v>
      </c>
      <c r="AC196" s="42">
        <v>37387</v>
      </c>
      <c r="AD196" s="42">
        <v>38007</v>
      </c>
      <c r="AE196" s="53" t="s">
        <v>51</v>
      </c>
      <c r="AF196" s="54" t="s">
        <v>35</v>
      </c>
      <c r="AG196" s="54"/>
      <c r="AH196" s="39" t="s">
        <v>52</v>
      </c>
      <c r="AI196" s="39" t="s">
        <v>52</v>
      </c>
    </row>
    <row r="197" spans="1:35" ht="17" x14ac:dyDescent="0.2">
      <c r="A197">
        <v>341</v>
      </c>
      <c r="B197">
        <v>337</v>
      </c>
      <c r="C197" t="s">
        <v>4216</v>
      </c>
      <c r="D197" s="39" t="s">
        <v>2086</v>
      </c>
      <c r="E197" s="39" t="s">
        <v>1843</v>
      </c>
      <c r="F197" s="39" t="s">
        <v>35</v>
      </c>
      <c r="G197" s="39" t="s">
        <v>160</v>
      </c>
      <c r="I197" s="39" t="s">
        <v>2087</v>
      </c>
      <c r="J197" s="39" t="s">
        <v>35</v>
      </c>
      <c r="K197" t="s">
        <v>2088</v>
      </c>
      <c r="L197" t="s">
        <v>1483</v>
      </c>
      <c r="M197" s="6" t="s">
        <v>5936</v>
      </c>
      <c r="N197" t="s">
        <v>59</v>
      </c>
      <c r="O197" t="s">
        <v>49</v>
      </c>
      <c r="P197" s="35" t="s">
        <v>50</v>
      </c>
      <c r="Q197" t="s">
        <v>115</v>
      </c>
      <c r="R197" t="s">
        <v>1836</v>
      </c>
      <c r="S197" s="6" t="s">
        <v>4213</v>
      </c>
      <c r="T197" s="43" t="s">
        <v>2089</v>
      </c>
      <c r="U197" s="43" t="s">
        <v>246</v>
      </c>
      <c r="V197" t="s">
        <v>42</v>
      </c>
      <c r="W197" s="57"/>
      <c r="X197" s="57"/>
      <c r="Y197" t="s">
        <v>43</v>
      </c>
      <c r="Z197" s="39"/>
      <c r="AA197" s="39"/>
      <c r="AB197" t="s">
        <v>115</v>
      </c>
      <c r="AC197" s="42">
        <v>40568</v>
      </c>
      <c r="AD197" s="42">
        <v>41407</v>
      </c>
      <c r="AE197" s="53" t="s">
        <v>453</v>
      </c>
      <c r="AF197" s="54" t="s">
        <v>35</v>
      </c>
      <c r="AG197" s="54"/>
      <c r="AH197" s="39" t="s">
        <v>70</v>
      </c>
      <c r="AI197" s="39" t="s">
        <v>52</v>
      </c>
    </row>
    <row r="198" spans="1:35" ht="17" x14ac:dyDescent="0.2">
      <c r="A198">
        <v>53</v>
      </c>
      <c r="B198">
        <v>502</v>
      </c>
      <c r="C198" t="s">
        <v>4220</v>
      </c>
      <c r="D198" s="39" t="s">
        <v>2868</v>
      </c>
      <c r="E198" s="39" t="s">
        <v>1843</v>
      </c>
      <c r="F198" s="39" t="s">
        <v>35</v>
      </c>
      <c r="G198" s="39" t="s">
        <v>194</v>
      </c>
      <c r="I198" s="39" t="s">
        <v>2869</v>
      </c>
      <c r="J198" s="39" t="s">
        <v>35</v>
      </c>
      <c r="K198" t="s">
        <v>2870</v>
      </c>
      <c r="L198" t="s">
        <v>2871</v>
      </c>
      <c r="M198" s="6" t="s">
        <v>5937</v>
      </c>
      <c r="N198" t="s">
        <v>41</v>
      </c>
      <c r="O198" t="s">
        <v>49</v>
      </c>
      <c r="P198" s="35" t="s">
        <v>50</v>
      </c>
      <c r="Q198" t="s">
        <v>44</v>
      </c>
      <c r="R198" t="s">
        <v>611</v>
      </c>
      <c r="S198" s="6" t="s">
        <v>6171</v>
      </c>
      <c r="T198" s="43" t="s">
        <v>35</v>
      </c>
      <c r="U198" s="43" t="s">
        <v>35</v>
      </c>
      <c r="V198" t="s">
        <v>49</v>
      </c>
      <c r="W198" s="57"/>
      <c r="X198" s="57"/>
      <c r="Y198" t="s">
        <v>50</v>
      </c>
      <c r="Z198" s="39"/>
      <c r="AA198" s="39"/>
      <c r="AB198" t="s">
        <v>44</v>
      </c>
      <c r="AC198" s="42">
        <v>33240</v>
      </c>
      <c r="AD198" s="42">
        <v>34233</v>
      </c>
      <c r="AE198" s="53" t="s">
        <v>51</v>
      </c>
      <c r="AF198" s="54" t="s">
        <v>35</v>
      </c>
      <c r="AG198" s="54"/>
      <c r="AH198" s="39" t="s">
        <v>52</v>
      </c>
      <c r="AI198" s="39" t="s">
        <v>52</v>
      </c>
    </row>
    <row r="199" spans="1:35" ht="17" x14ac:dyDescent="0.2">
      <c r="A199" t="s">
        <v>35</v>
      </c>
      <c r="B199">
        <v>352</v>
      </c>
      <c r="C199" t="s">
        <v>5804</v>
      </c>
      <c r="D199" s="39" t="s">
        <v>2158</v>
      </c>
      <c r="E199" s="39" t="s">
        <v>2159</v>
      </c>
      <c r="F199" s="39" t="s">
        <v>2160</v>
      </c>
      <c r="G199" s="39" t="s">
        <v>259</v>
      </c>
      <c r="I199" s="39" t="s">
        <v>2161</v>
      </c>
      <c r="J199" s="39" t="s">
        <v>2162</v>
      </c>
      <c r="K199" t="s">
        <v>2163</v>
      </c>
      <c r="L199" t="s">
        <v>2164</v>
      </c>
      <c r="M199" s="6" t="s">
        <v>5938</v>
      </c>
      <c r="N199" t="s">
        <v>131</v>
      </c>
      <c r="O199" t="s">
        <v>2165</v>
      </c>
      <c r="P199" s="35" t="s">
        <v>2166</v>
      </c>
      <c r="Q199" t="s">
        <v>35</v>
      </c>
      <c r="R199" t="s">
        <v>245</v>
      </c>
      <c r="S199" s="6" t="s">
        <v>6172</v>
      </c>
      <c r="T199" s="43" t="s">
        <v>494</v>
      </c>
      <c r="U199" s="43" t="s">
        <v>494</v>
      </c>
      <c r="V199" t="s">
        <v>49</v>
      </c>
      <c r="W199" s="57"/>
      <c r="X199" s="57"/>
      <c r="Y199" t="s">
        <v>50</v>
      </c>
      <c r="Z199" s="39"/>
      <c r="AA199" s="39"/>
      <c r="AB199" t="s">
        <v>44</v>
      </c>
      <c r="AC199" s="42">
        <v>44198</v>
      </c>
      <c r="AD199" s="42">
        <v>44927</v>
      </c>
      <c r="AE199" s="53" t="s">
        <v>984</v>
      </c>
      <c r="AF199" s="54" t="s">
        <v>35</v>
      </c>
      <c r="AG199" s="54"/>
      <c r="AH199" s="39" t="s">
        <v>52</v>
      </c>
      <c r="AI199" s="39" t="s">
        <v>70</v>
      </c>
    </row>
    <row r="200" spans="1:35" ht="17" x14ac:dyDescent="0.2">
      <c r="B200">
        <v>322</v>
      </c>
      <c r="C200" t="s">
        <v>4226</v>
      </c>
      <c r="D200" s="39" t="s">
        <v>2006</v>
      </c>
      <c r="E200" s="39" t="s">
        <v>2007</v>
      </c>
      <c r="F200" s="39" t="s">
        <v>35</v>
      </c>
      <c r="G200" s="39" t="s">
        <v>35</v>
      </c>
      <c r="I200" s="39" t="s">
        <v>35</v>
      </c>
      <c r="J200" s="39" t="s">
        <v>35</v>
      </c>
      <c r="K200" t="s">
        <v>2008</v>
      </c>
      <c r="L200" t="s">
        <v>2009</v>
      </c>
      <c r="M200" s="6" t="s">
        <v>4221</v>
      </c>
      <c r="O200" t="s">
        <v>49</v>
      </c>
      <c r="P200" s="35" t="s">
        <v>50</v>
      </c>
      <c r="Q200" t="s">
        <v>44</v>
      </c>
      <c r="R200" t="s">
        <v>2010</v>
      </c>
      <c r="S200" s="6" t="s">
        <v>4222</v>
      </c>
      <c r="T200" s="43" t="s">
        <v>788</v>
      </c>
      <c r="U200" s="43" t="s">
        <v>238</v>
      </c>
      <c r="V200" t="s">
        <v>49</v>
      </c>
      <c r="W200" s="57"/>
      <c r="X200" s="57"/>
      <c r="Y200" t="s">
        <v>50</v>
      </c>
      <c r="Z200" s="39"/>
      <c r="AA200" s="39"/>
      <c r="AB200" t="s">
        <v>87</v>
      </c>
      <c r="AE200" s="53" t="s">
        <v>51</v>
      </c>
      <c r="AF200" s="54" t="s">
        <v>35</v>
      </c>
      <c r="AG200" s="54"/>
      <c r="AH200" s="39" t="s">
        <v>52</v>
      </c>
      <c r="AI200" s="39" t="s">
        <v>52</v>
      </c>
    </row>
    <row r="201" spans="1:35" ht="17" x14ac:dyDescent="0.2">
      <c r="A201">
        <v>277</v>
      </c>
      <c r="B201">
        <v>546</v>
      </c>
      <c r="C201" t="s">
        <v>4232</v>
      </c>
      <c r="D201" s="39" t="s">
        <v>3091</v>
      </c>
      <c r="E201" s="39" t="s">
        <v>2007</v>
      </c>
      <c r="F201" s="39" t="s">
        <v>35</v>
      </c>
      <c r="G201" s="39" t="s">
        <v>82</v>
      </c>
      <c r="I201" s="39" t="s">
        <v>3092</v>
      </c>
      <c r="J201" s="39" t="s">
        <v>35</v>
      </c>
      <c r="K201" t="s">
        <v>3093</v>
      </c>
      <c r="L201" t="s">
        <v>3094</v>
      </c>
      <c r="M201" s="6" t="s">
        <v>3555</v>
      </c>
      <c r="N201" s="36" t="s">
        <v>86</v>
      </c>
      <c r="O201" t="s">
        <v>49</v>
      </c>
      <c r="P201" s="35" t="s">
        <v>50</v>
      </c>
      <c r="Q201" t="s">
        <v>44</v>
      </c>
      <c r="R201" t="s">
        <v>355</v>
      </c>
      <c r="S201" s="6" t="s">
        <v>6173</v>
      </c>
      <c r="T201" s="43" t="s">
        <v>308</v>
      </c>
      <c r="U201" s="43" t="s">
        <v>417</v>
      </c>
      <c r="V201" t="s">
        <v>42</v>
      </c>
      <c r="W201" s="57"/>
      <c r="X201" s="57"/>
      <c r="Y201" t="s">
        <v>43</v>
      </c>
      <c r="Z201" s="39"/>
      <c r="AA201" s="39"/>
      <c r="AB201" t="s">
        <v>44</v>
      </c>
      <c r="AC201" s="42">
        <v>38797</v>
      </c>
      <c r="AD201" s="42">
        <v>40089</v>
      </c>
      <c r="AE201" s="53" t="s">
        <v>51</v>
      </c>
      <c r="AF201" s="54" t="s">
        <v>35</v>
      </c>
      <c r="AG201" s="54"/>
      <c r="AH201" s="39" t="s">
        <v>52</v>
      </c>
      <c r="AI201" s="39" t="s">
        <v>52</v>
      </c>
    </row>
    <row r="202" spans="1:35" ht="17" x14ac:dyDescent="0.2">
      <c r="A202">
        <v>224</v>
      </c>
      <c r="B202">
        <v>369</v>
      </c>
      <c r="C202" t="s">
        <v>4235</v>
      </c>
      <c r="D202" s="39" t="s">
        <v>2250</v>
      </c>
      <c r="E202" s="39" t="s">
        <v>2251</v>
      </c>
      <c r="F202" s="39" t="s">
        <v>35</v>
      </c>
      <c r="G202" s="39" t="s">
        <v>82</v>
      </c>
      <c r="I202" s="39" t="s">
        <v>2252</v>
      </c>
      <c r="J202" s="39" t="s">
        <v>2253</v>
      </c>
      <c r="K202" t="s">
        <v>2254</v>
      </c>
      <c r="L202" t="s">
        <v>2255</v>
      </c>
      <c r="M202" s="6" t="s">
        <v>4228</v>
      </c>
      <c r="N202" t="s">
        <v>86</v>
      </c>
      <c r="O202" t="s">
        <v>1789</v>
      </c>
      <c r="P202" s="35" t="s">
        <v>1790</v>
      </c>
      <c r="Q202" t="s">
        <v>1627</v>
      </c>
      <c r="R202" t="s">
        <v>2256</v>
      </c>
      <c r="S202" s="6" t="s">
        <v>4230</v>
      </c>
      <c r="T202" s="43" t="s">
        <v>1252</v>
      </c>
      <c r="U202" s="43" t="s">
        <v>400</v>
      </c>
      <c r="V202" t="s">
        <v>49</v>
      </c>
      <c r="W202" s="57"/>
      <c r="X202" s="57"/>
      <c r="Y202" t="s">
        <v>50</v>
      </c>
      <c r="Z202" s="39"/>
      <c r="AA202" s="39"/>
      <c r="AB202" t="s">
        <v>44</v>
      </c>
      <c r="AC202" s="42">
        <v>37797</v>
      </c>
      <c r="AD202" s="42">
        <v>38473</v>
      </c>
      <c r="AE202" s="53" t="s">
        <v>51</v>
      </c>
      <c r="AF202" s="54" t="s">
        <v>35</v>
      </c>
      <c r="AG202" s="54"/>
      <c r="AH202" s="39" t="s">
        <v>52</v>
      </c>
      <c r="AI202" s="39" t="s">
        <v>52</v>
      </c>
    </row>
    <row r="203" spans="1:35" ht="17" x14ac:dyDescent="0.2">
      <c r="A203">
        <v>565</v>
      </c>
      <c r="B203">
        <v>601</v>
      </c>
      <c r="C203" t="s">
        <v>4242</v>
      </c>
      <c r="D203" s="39" t="s">
        <v>3349</v>
      </c>
      <c r="E203" s="39" t="s">
        <v>3350</v>
      </c>
      <c r="F203" s="39" t="s">
        <v>35</v>
      </c>
      <c r="G203" s="39" t="s">
        <v>259</v>
      </c>
      <c r="H203" s="34"/>
      <c r="I203" s="39" t="s">
        <v>3351</v>
      </c>
      <c r="J203" s="39" t="s">
        <v>3352</v>
      </c>
      <c r="K203" t="s">
        <v>3353</v>
      </c>
      <c r="L203" t="s">
        <v>611</v>
      </c>
      <c r="M203" s="6" t="s">
        <v>756</v>
      </c>
      <c r="N203" t="s">
        <v>97</v>
      </c>
      <c r="O203" t="s">
        <v>42</v>
      </c>
      <c r="P203" s="35" t="s">
        <v>43</v>
      </c>
      <c r="Q203" t="s">
        <v>44</v>
      </c>
      <c r="R203" t="s">
        <v>75</v>
      </c>
      <c r="S203" s="6" t="s">
        <v>157</v>
      </c>
      <c r="T203" s="43" t="s">
        <v>1907</v>
      </c>
      <c r="U203" s="43" t="s">
        <v>224</v>
      </c>
      <c r="W203" s="57"/>
      <c r="X203" s="57"/>
      <c r="Z203" s="39"/>
      <c r="AA203" s="39"/>
      <c r="AB203" t="s">
        <v>62</v>
      </c>
      <c r="AC203" s="42">
        <v>44228</v>
      </c>
      <c r="AD203" s="42">
        <v>44774</v>
      </c>
      <c r="AE203" s="53" t="s">
        <v>51</v>
      </c>
      <c r="AF203" s="54" t="s">
        <v>35</v>
      </c>
      <c r="AG203" s="54"/>
      <c r="AH203" s="39" t="s">
        <v>52</v>
      </c>
      <c r="AI203" s="39" t="s">
        <v>52</v>
      </c>
    </row>
    <row r="204" spans="1:35" ht="17" x14ac:dyDescent="0.2">
      <c r="A204" t="s">
        <v>35</v>
      </c>
      <c r="B204">
        <v>534</v>
      </c>
      <c r="C204" t="s">
        <v>5824</v>
      </c>
      <c r="D204" s="39" t="s">
        <v>3032</v>
      </c>
      <c r="E204" s="39" t="s">
        <v>3033</v>
      </c>
      <c r="F204" s="39" t="s">
        <v>3034</v>
      </c>
      <c r="G204" s="39" t="s">
        <v>259</v>
      </c>
      <c r="I204" s="39" t="s">
        <v>3035</v>
      </c>
      <c r="J204" s="39" t="s">
        <v>35</v>
      </c>
      <c r="K204" t="s">
        <v>3036</v>
      </c>
      <c r="L204" t="s">
        <v>75</v>
      </c>
      <c r="M204" s="6" t="s">
        <v>5939</v>
      </c>
      <c r="N204" t="s">
        <v>131</v>
      </c>
      <c r="O204" t="s">
        <v>42</v>
      </c>
      <c r="P204" s="35" t="s">
        <v>43</v>
      </c>
      <c r="Q204" t="s">
        <v>35</v>
      </c>
      <c r="R204" t="s">
        <v>3037</v>
      </c>
      <c r="S204" s="6" t="s">
        <v>6174</v>
      </c>
      <c r="T204" s="43" t="s">
        <v>459</v>
      </c>
      <c r="U204" s="43" t="s">
        <v>459</v>
      </c>
      <c r="V204" t="s">
        <v>42</v>
      </c>
      <c r="W204" s="57"/>
      <c r="X204" s="57"/>
      <c r="Y204" t="s">
        <v>43</v>
      </c>
      <c r="Z204" s="39"/>
      <c r="AA204" s="39"/>
      <c r="AB204" t="s">
        <v>44</v>
      </c>
      <c r="AC204" s="42">
        <v>44958</v>
      </c>
      <c r="AD204" s="42">
        <v>45444</v>
      </c>
      <c r="AE204" s="53" t="s">
        <v>51</v>
      </c>
      <c r="AF204" s="54" t="s">
        <v>35</v>
      </c>
      <c r="AG204" s="54"/>
      <c r="AH204" s="39" t="s">
        <v>52</v>
      </c>
      <c r="AI204" s="39" t="s">
        <v>52</v>
      </c>
    </row>
    <row r="205" spans="1:35" ht="17" x14ac:dyDescent="0.2">
      <c r="A205">
        <v>577</v>
      </c>
      <c r="B205">
        <v>568</v>
      </c>
      <c r="C205" t="s">
        <v>5835</v>
      </c>
      <c r="D205" s="39" t="s">
        <v>3198</v>
      </c>
      <c r="E205" s="39" t="s">
        <v>3033</v>
      </c>
      <c r="F205" s="39" t="s">
        <v>35</v>
      </c>
      <c r="G205" s="39" t="s">
        <v>259</v>
      </c>
      <c r="I205" s="39" t="s">
        <v>3199</v>
      </c>
      <c r="J205" s="39" t="s">
        <v>35</v>
      </c>
      <c r="K205" t="s">
        <v>3200</v>
      </c>
      <c r="L205" t="s">
        <v>1840</v>
      </c>
      <c r="M205" s="6" t="s">
        <v>3476</v>
      </c>
      <c r="N205" t="s">
        <v>131</v>
      </c>
      <c r="O205" t="s">
        <v>190</v>
      </c>
      <c r="P205" s="35" t="s">
        <v>191</v>
      </c>
      <c r="Q205" t="s">
        <v>76</v>
      </c>
      <c r="R205" t="s">
        <v>1447</v>
      </c>
      <c r="S205" s="6" t="s">
        <v>3820</v>
      </c>
      <c r="T205" s="43" t="s">
        <v>459</v>
      </c>
      <c r="U205" s="43" t="s">
        <v>459</v>
      </c>
      <c r="V205" t="s">
        <v>49</v>
      </c>
      <c r="W205" s="57"/>
      <c r="X205" s="57"/>
      <c r="Y205" t="s">
        <v>50</v>
      </c>
      <c r="Z205" s="39"/>
      <c r="AA205" s="39"/>
      <c r="AB205" t="s">
        <v>62</v>
      </c>
      <c r="AC205" s="42">
        <v>44206</v>
      </c>
      <c r="AD205" s="42">
        <v>45293</v>
      </c>
      <c r="AE205" s="53" t="s">
        <v>453</v>
      </c>
      <c r="AF205" s="54" t="s">
        <v>35</v>
      </c>
      <c r="AG205" s="54"/>
      <c r="AH205" s="39" t="s">
        <v>70</v>
      </c>
      <c r="AI205" s="39" t="s">
        <v>70</v>
      </c>
    </row>
    <row r="206" spans="1:35" ht="17" x14ac:dyDescent="0.2">
      <c r="A206">
        <v>215</v>
      </c>
      <c r="B206">
        <v>176</v>
      </c>
      <c r="C206" t="s">
        <v>4243</v>
      </c>
      <c r="D206" s="39" t="s">
        <v>1237</v>
      </c>
      <c r="E206" s="39" t="s">
        <v>1238</v>
      </c>
      <c r="F206" s="39" t="s">
        <v>35</v>
      </c>
      <c r="G206" s="39" t="s">
        <v>82</v>
      </c>
      <c r="I206" s="39" t="s">
        <v>1239</v>
      </c>
      <c r="J206" s="39" t="s">
        <v>1240</v>
      </c>
      <c r="K206" t="s">
        <v>1241</v>
      </c>
      <c r="L206" s="49" t="s">
        <v>1242</v>
      </c>
      <c r="M206" s="6" t="s">
        <v>5940</v>
      </c>
      <c r="N206" t="s">
        <v>86</v>
      </c>
      <c r="P206" s="35"/>
      <c r="Q206" t="s">
        <v>100</v>
      </c>
      <c r="R206" t="s">
        <v>1243</v>
      </c>
      <c r="S206" s="6" t="s">
        <v>3501</v>
      </c>
      <c r="T206" s="43" t="s">
        <v>1244</v>
      </c>
      <c r="U206" s="43" t="s">
        <v>1245</v>
      </c>
      <c r="V206" t="s">
        <v>42</v>
      </c>
      <c r="W206" s="57"/>
      <c r="X206" s="57"/>
      <c r="Y206" t="s">
        <v>43</v>
      </c>
      <c r="Z206" s="39"/>
      <c r="AA206" s="39"/>
      <c r="AB206" t="s">
        <v>76</v>
      </c>
      <c r="AC206" s="42">
        <v>37387</v>
      </c>
      <c r="AE206" s="53" t="s">
        <v>453</v>
      </c>
      <c r="AF206" s="54" t="s">
        <v>35</v>
      </c>
      <c r="AG206" s="54"/>
      <c r="AH206" s="39" t="s">
        <v>70</v>
      </c>
      <c r="AI206" s="39" t="s">
        <v>52</v>
      </c>
    </row>
    <row r="207" spans="1:35" ht="17" x14ac:dyDescent="0.2">
      <c r="A207">
        <v>179</v>
      </c>
      <c r="B207">
        <v>306</v>
      </c>
      <c r="C207" t="s">
        <v>4247</v>
      </c>
      <c r="D207" s="39" t="s">
        <v>1929</v>
      </c>
      <c r="E207" s="39" t="s">
        <v>1238</v>
      </c>
      <c r="F207" s="39" t="s">
        <v>35</v>
      </c>
      <c r="G207" s="39" t="s">
        <v>82</v>
      </c>
      <c r="I207" s="39" t="s">
        <v>1930</v>
      </c>
      <c r="J207" s="39" t="s">
        <v>35</v>
      </c>
      <c r="K207" t="s">
        <v>1931</v>
      </c>
      <c r="L207" t="s">
        <v>1932</v>
      </c>
      <c r="M207" s="6" t="s">
        <v>5941</v>
      </c>
      <c r="N207" t="s">
        <v>86</v>
      </c>
      <c r="O207" t="s">
        <v>42</v>
      </c>
      <c r="P207" s="35" t="s">
        <v>43</v>
      </c>
      <c r="Q207" t="s">
        <v>44</v>
      </c>
      <c r="R207" t="s">
        <v>684</v>
      </c>
      <c r="S207" s="6" t="s">
        <v>40</v>
      </c>
      <c r="T207" s="43" t="s">
        <v>1732</v>
      </c>
      <c r="U207" s="43" t="s">
        <v>255</v>
      </c>
      <c r="V207" t="s">
        <v>42</v>
      </c>
      <c r="W207" s="57"/>
      <c r="X207" s="57"/>
      <c r="Y207" t="s">
        <v>43</v>
      </c>
      <c r="Z207" s="39"/>
      <c r="AA207" s="39"/>
      <c r="AB207" t="s">
        <v>44</v>
      </c>
      <c r="AC207" s="42">
        <v>37013</v>
      </c>
      <c r="AD207" s="42">
        <v>37649</v>
      </c>
      <c r="AE207" s="53" t="s">
        <v>51</v>
      </c>
      <c r="AF207" s="54" t="s">
        <v>35</v>
      </c>
      <c r="AG207" s="54"/>
      <c r="AH207" s="39" t="s">
        <v>52</v>
      </c>
      <c r="AI207" s="39" t="s">
        <v>52</v>
      </c>
    </row>
    <row r="208" spans="1:35" ht="17" x14ac:dyDescent="0.2">
      <c r="A208">
        <v>110</v>
      </c>
      <c r="B208">
        <v>597</v>
      </c>
      <c r="C208" t="s">
        <v>4250</v>
      </c>
      <c r="D208" s="39" t="s">
        <v>3331</v>
      </c>
      <c r="E208" s="39" t="s">
        <v>3332</v>
      </c>
      <c r="F208" s="39" t="s">
        <v>35</v>
      </c>
      <c r="G208" s="39" t="s">
        <v>205</v>
      </c>
      <c r="H208" s="34"/>
      <c r="I208" s="39" t="s">
        <v>3333</v>
      </c>
      <c r="J208" s="39" t="s">
        <v>35</v>
      </c>
      <c r="K208" t="s">
        <v>3334</v>
      </c>
      <c r="L208" t="s">
        <v>3335</v>
      </c>
      <c r="M208" s="6" t="s">
        <v>3837</v>
      </c>
      <c r="N208" t="s">
        <v>59</v>
      </c>
      <c r="O208" t="s">
        <v>49</v>
      </c>
      <c r="P208" s="35" t="s">
        <v>50</v>
      </c>
      <c r="Q208" t="s">
        <v>35</v>
      </c>
      <c r="R208" t="s">
        <v>3336</v>
      </c>
      <c r="S208" s="6" t="s">
        <v>4245</v>
      </c>
      <c r="T208" s="43" t="s">
        <v>165</v>
      </c>
      <c r="U208" s="43" t="s">
        <v>1523</v>
      </c>
      <c r="V208" t="s">
        <v>49</v>
      </c>
      <c r="W208" s="57"/>
      <c r="X208" s="57"/>
      <c r="Y208" t="s">
        <v>50</v>
      </c>
      <c r="Z208" s="39"/>
      <c r="AA208" s="39"/>
      <c r="AB208" t="s">
        <v>44</v>
      </c>
      <c r="AC208" s="42">
        <v>35104</v>
      </c>
      <c r="AD208" s="42">
        <v>36584</v>
      </c>
      <c r="AE208" s="53" t="s">
        <v>239</v>
      </c>
      <c r="AF208" s="54" t="s">
        <v>35</v>
      </c>
      <c r="AG208" s="54"/>
      <c r="AH208" s="39" t="s">
        <v>70</v>
      </c>
      <c r="AI208" s="39" t="s">
        <v>52</v>
      </c>
    </row>
    <row r="209" spans="1:35" ht="17" x14ac:dyDescent="0.2">
      <c r="A209">
        <v>379</v>
      </c>
      <c r="B209">
        <v>25</v>
      </c>
      <c r="C209" t="s">
        <v>4254</v>
      </c>
      <c r="D209" s="39" t="s">
        <v>272</v>
      </c>
      <c r="E209" s="39" t="s">
        <v>273</v>
      </c>
      <c r="F209" s="39" t="s">
        <v>35</v>
      </c>
      <c r="G209" s="39" t="s">
        <v>160</v>
      </c>
      <c r="I209" s="39" t="s">
        <v>274</v>
      </c>
      <c r="J209" s="39" t="s">
        <v>275</v>
      </c>
      <c r="K209" t="s">
        <v>276</v>
      </c>
      <c r="L209" t="s">
        <v>277</v>
      </c>
      <c r="M209" s="6" t="s">
        <v>3600</v>
      </c>
      <c r="N209" t="s">
        <v>59</v>
      </c>
      <c r="O209" t="s">
        <v>49</v>
      </c>
      <c r="P209" s="35" t="s">
        <v>50</v>
      </c>
      <c r="Q209" t="s">
        <v>44</v>
      </c>
      <c r="R209" t="s">
        <v>278</v>
      </c>
      <c r="S209" s="6" t="s">
        <v>6175</v>
      </c>
      <c r="T209" s="43" t="s">
        <v>279</v>
      </c>
      <c r="U209" s="43" t="s">
        <v>280</v>
      </c>
      <c r="V209" t="s">
        <v>281</v>
      </c>
      <c r="W209" s="57"/>
      <c r="X209" s="57"/>
      <c r="Y209" t="s">
        <v>282</v>
      </c>
      <c r="Z209" s="39"/>
      <c r="AA209" s="39"/>
      <c r="AB209" t="s">
        <v>76</v>
      </c>
      <c r="AC209" s="42">
        <v>41799</v>
      </c>
      <c r="AD209" s="42">
        <v>42699</v>
      </c>
      <c r="AE209" s="53" t="s">
        <v>116</v>
      </c>
      <c r="AF209" s="54" t="s">
        <v>35</v>
      </c>
      <c r="AG209" s="54"/>
      <c r="AH209" s="39" t="s">
        <v>70</v>
      </c>
      <c r="AI209" s="39" t="s">
        <v>52</v>
      </c>
    </row>
    <row r="210" spans="1:35" ht="17" x14ac:dyDescent="0.2">
      <c r="A210">
        <v>93</v>
      </c>
      <c r="B210">
        <v>247</v>
      </c>
      <c r="C210" t="s">
        <v>4260</v>
      </c>
      <c r="D210" s="39" t="s">
        <v>1638</v>
      </c>
      <c r="E210" s="39" t="s">
        <v>1639</v>
      </c>
      <c r="F210" s="39" t="s">
        <v>35</v>
      </c>
      <c r="G210" s="39" t="s">
        <v>194</v>
      </c>
      <c r="I210" s="39" t="s">
        <v>1640</v>
      </c>
      <c r="J210" s="39" t="s">
        <v>35</v>
      </c>
      <c r="K210" t="s">
        <v>1641</v>
      </c>
      <c r="L210" t="s">
        <v>1642</v>
      </c>
      <c r="M210" s="6" t="s">
        <v>5942</v>
      </c>
      <c r="N210" t="s">
        <v>86</v>
      </c>
      <c r="O210" t="s">
        <v>190</v>
      </c>
      <c r="P210" s="35" t="s">
        <v>191</v>
      </c>
      <c r="Q210" t="s">
        <v>980</v>
      </c>
      <c r="R210" t="s">
        <v>533</v>
      </c>
      <c r="S210" s="6" t="s">
        <v>6176</v>
      </c>
      <c r="T210" s="43" t="s">
        <v>1643</v>
      </c>
      <c r="U210" s="43" t="s">
        <v>1644</v>
      </c>
      <c r="V210" t="s">
        <v>42</v>
      </c>
      <c r="W210" s="57"/>
      <c r="X210" s="57"/>
      <c r="Y210" t="s">
        <v>43</v>
      </c>
      <c r="Z210" s="39"/>
      <c r="AA210" s="39"/>
      <c r="AB210" t="s">
        <v>76</v>
      </c>
      <c r="AC210" s="42">
        <v>34335</v>
      </c>
      <c r="AD210" s="42">
        <v>34700</v>
      </c>
      <c r="AE210" s="53" t="s">
        <v>116</v>
      </c>
      <c r="AF210" s="54" t="s">
        <v>35</v>
      </c>
      <c r="AG210" s="54"/>
      <c r="AH210" s="39" t="s">
        <v>70</v>
      </c>
      <c r="AI210" s="39" t="s">
        <v>52</v>
      </c>
    </row>
    <row r="211" spans="1:35" ht="17" x14ac:dyDescent="0.2">
      <c r="A211">
        <v>418</v>
      </c>
      <c r="B211">
        <v>326</v>
      </c>
      <c r="C211" t="s">
        <v>4264</v>
      </c>
      <c r="D211" s="39" t="s">
        <v>2032</v>
      </c>
      <c r="E211" s="39" t="s">
        <v>2033</v>
      </c>
      <c r="F211" s="39" t="s">
        <v>35</v>
      </c>
      <c r="G211" s="39" t="s">
        <v>36</v>
      </c>
      <c r="I211" s="39" t="s">
        <v>2034</v>
      </c>
      <c r="J211" s="39" t="s">
        <v>2035</v>
      </c>
      <c r="K211" t="s">
        <v>2036</v>
      </c>
      <c r="L211" t="s">
        <v>2037</v>
      </c>
      <c r="M211" s="6" t="s">
        <v>3717</v>
      </c>
      <c r="N211" t="s">
        <v>86</v>
      </c>
      <c r="O211" t="s">
        <v>2038</v>
      </c>
      <c r="P211" s="35" t="s">
        <v>50</v>
      </c>
      <c r="Q211" t="s">
        <v>35</v>
      </c>
      <c r="R211" t="s">
        <v>163</v>
      </c>
      <c r="S211" s="6" t="s">
        <v>6177</v>
      </c>
      <c r="T211" s="43" t="s">
        <v>494</v>
      </c>
      <c r="U211" s="43" t="s">
        <v>1436</v>
      </c>
      <c r="V211" t="s">
        <v>49</v>
      </c>
      <c r="W211" s="57"/>
      <c r="X211" s="57"/>
      <c r="Y211" t="s">
        <v>50</v>
      </c>
      <c r="Z211" s="39"/>
      <c r="AA211" s="39"/>
      <c r="AB211" t="s">
        <v>62</v>
      </c>
      <c r="AC211" s="42">
        <v>42513</v>
      </c>
      <c r="AD211" s="42">
        <v>43101</v>
      </c>
      <c r="AE211" s="53" t="s">
        <v>453</v>
      </c>
      <c r="AF211" s="54" t="s">
        <v>35</v>
      </c>
      <c r="AG211" s="54"/>
      <c r="AH211" s="39" t="s">
        <v>70</v>
      </c>
      <c r="AI211" s="39" t="s">
        <v>52</v>
      </c>
    </row>
    <row r="212" spans="1:35" ht="34" x14ac:dyDescent="0.2">
      <c r="A212">
        <v>354</v>
      </c>
      <c r="B212">
        <v>131</v>
      </c>
      <c r="C212" t="s">
        <v>4268</v>
      </c>
      <c r="D212" s="39" t="s">
        <v>993</v>
      </c>
      <c r="E212" s="39" t="s">
        <v>994</v>
      </c>
      <c r="F212" s="39" t="s">
        <v>35</v>
      </c>
      <c r="G212" s="39" t="s">
        <v>55</v>
      </c>
      <c r="I212" s="39" t="s">
        <v>995</v>
      </c>
      <c r="J212" s="39" t="s">
        <v>35</v>
      </c>
      <c r="K212" t="s">
        <v>996</v>
      </c>
      <c r="L212" s="49" t="s">
        <v>997</v>
      </c>
      <c r="M212" s="6" t="s">
        <v>5943</v>
      </c>
      <c r="N212" t="s">
        <v>59</v>
      </c>
      <c r="O212" t="s">
        <v>49</v>
      </c>
      <c r="P212" s="35" t="s">
        <v>50</v>
      </c>
      <c r="Q212" t="s">
        <v>115</v>
      </c>
      <c r="R212" t="s">
        <v>998</v>
      </c>
      <c r="S212" s="6" t="s">
        <v>6178</v>
      </c>
      <c r="T212" s="43" t="s">
        <v>246</v>
      </c>
      <c r="U212" s="43" t="s">
        <v>474</v>
      </c>
      <c r="V212" t="s">
        <v>49</v>
      </c>
      <c r="W212" s="57"/>
      <c r="X212" s="57"/>
      <c r="Y212" t="s">
        <v>50</v>
      </c>
      <c r="Z212" s="39"/>
      <c r="AA212" s="39"/>
      <c r="AB212" t="s">
        <v>76</v>
      </c>
      <c r="AC212" s="42">
        <v>41058</v>
      </c>
      <c r="AD212" s="42">
        <v>41697</v>
      </c>
      <c r="AE212" s="53" t="s">
        <v>403</v>
      </c>
      <c r="AF212" s="54" t="s">
        <v>35</v>
      </c>
      <c r="AG212" s="54"/>
      <c r="AH212" s="39" t="s">
        <v>52</v>
      </c>
      <c r="AI212" s="39" t="s">
        <v>70</v>
      </c>
    </row>
    <row r="213" spans="1:35" ht="17" x14ac:dyDescent="0.2">
      <c r="B213">
        <v>67</v>
      </c>
      <c r="C213" t="s">
        <v>5766</v>
      </c>
      <c r="D213" s="39" t="s">
        <v>560</v>
      </c>
      <c r="E213" s="39" t="s">
        <v>561</v>
      </c>
      <c r="F213" s="39" t="s">
        <v>35</v>
      </c>
      <c r="G213" s="39" t="s">
        <v>259</v>
      </c>
      <c r="I213" s="39" t="s">
        <v>562</v>
      </c>
      <c r="J213" s="39" t="s">
        <v>35</v>
      </c>
      <c r="K213" t="s">
        <v>563</v>
      </c>
      <c r="L213" s="49" t="s">
        <v>564</v>
      </c>
      <c r="M213" s="6" t="s">
        <v>157</v>
      </c>
      <c r="N213" t="s">
        <v>131</v>
      </c>
      <c r="O213" t="s">
        <v>565</v>
      </c>
      <c r="P213" s="35" t="s">
        <v>566</v>
      </c>
      <c r="Q213" t="s">
        <v>44</v>
      </c>
      <c r="R213" t="s">
        <v>521</v>
      </c>
      <c r="S213" s="6" t="s">
        <v>3501</v>
      </c>
      <c r="T213" s="43" t="s">
        <v>213</v>
      </c>
      <c r="U213" s="43" t="s">
        <v>213</v>
      </c>
      <c r="V213" t="s">
        <v>49</v>
      </c>
      <c r="W213" s="57"/>
      <c r="X213" s="57"/>
      <c r="Y213" t="s">
        <v>50</v>
      </c>
      <c r="Z213" s="39"/>
      <c r="AA213" s="39"/>
      <c r="AB213" t="s">
        <v>44</v>
      </c>
      <c r="AC213" s="42">
        <v>44932</v>
      </c>
      <c r="AD213" s="42">
        <v>45663</v>
      </c>
      <c r="AE213" s="53" t="s">
        <v>51</v>
      </c>
      <c r="AF213" s="54" t="s">
        <v>35</v>
      </c>
      <c r="AG213" s="54"/>
      <c r="AH213" s="39" t="s">
        <v>52</v>
      </c>
      <c r="AI213" s="39" t="s">
        <v>52</v>
      </c>
    </row>
    <row r="214" spans="1:35" ht="17" x14ac:dyDescent="0.2">
      <c r="A214">
        <v>23</v>
      </c>
      <c r="B214">
        <v>143</v>
      </c>
      <c r="C214" t="s">
        <v>4275</v>
      </c>
      <c r="D214" s="39" t="s">
        <v>1067</v>
      </c>
      <c r="E214" s="39" t="s">
        <v>561</v>
      </c>
      <c r="F214" s="39" t="s">
        <v>35</v>
      </c>
      <c r="G214" s="39" t="s">
        <v>35</v>
      </c>
      <c r="I214" s="39" t="s">
        <v>35</v>
      </c>
      <c r="J214" s="39" t="s">
        <v>35</v>
      </c>
      <c r="L214" s="49"/>
      <c r="M214" s="6" t="s">
        <v>5944</v>
      </c>
      <c r="N214" s="1"/>
      <c r="P214" s="35"/>
      <c r="Q214" t="s">
        <v>35</v>
      </c>
      <c r="S214" s="6" t="s">
        <v>6179</v>
      </c>
      <c r="T214" s="43" t="s">
        <v>35</v>
      </c>
      <c r="U214" s="43" t="s">
        <v>35</v>
      </c>
      <c r="W214" s="57"/>
      <c r="X214" s="57"/>
      <c r="Z214" s="39"/>
      <c r="AA214" s="39"/>
      <c r="AB214" t="s">
        <v>35</v>
      </c>
      <c r="AC214" s="42">
        <v>33240</v>
      </c>
      <c r="AD214" s="42">
        <v>33602</v>
      </c>
      <c r="AE214" s="53"/>
      <c r="AF214" s="54" t="s">
        <v>35</v>
      </c>
      <c r="AG214" s="54"/>
      <c r="AH214" s="39" t="s">
        <v>52</v>
      </c>
      <c r="AI214" s="39" t="s">
        <v>52</v>
      </c>
    </row>
    <row r="215" spans="1:35" ht="17" x14ac:dyDescent="0.2">
      <c r="A215">
        <v>26</v>
      </c>
      <c r="B215">
        <v>226</v>
      </c>
      <c r="C215" t="s">
        <v>4277</v>
      </c>
      <c r="D215" s="39" t="s">
        <v>1525</v>
      </c>
      <c r="E215" s="39" t="s">
        <v>561</v>
      </c>
      <c r="F215" s="39" t="s">
        <v>35</v>
      </c>
      <c r="G215" s="39" t="s">
        <v>194</v>
      </c>
      <c r="I215" s="39" t="s">
        <v>1526</v>
      </c>
      <c r="J215" s="39" t="s">
        <v>1527</v>
      </c>
      <c r="K215" t="s">
        <v>1528</v>
      </c>
      <c r="L215" t="s">
        <v>1529</v>
      </c>
      <c r="M215" s="6" t="s">
        <v>5945</v>
      </c>
      <c r="N215" t="s">
        <v>86</v>
      </c>
      <c r="O215" t="s">
        <v>49</v>
      </c>
      <c r="P215" s="35" t="s">
        <v>50</v>
      </c>
      <c r="Q215" t="s">
        <v>35</v>
      </c>
      <c r="R215" t="s">
        <v>1530</v>
      </c>
      <c r="S215" s="6" t="s">
        <v>6180</v>
      </c>
      <c r="T215" s="43" t="s">
        <v>330</v>
      </c>
      <c r="U215" s="43" t="s">
        <v>324</v>
      </c>
      <c r="V215" t="s">
        <v>49</v>
      </c>
      <c r="W215" s="57"/>
      <c r="X215" s="57"/>
      <c r="Y215" t="s">
        <v>50</v>
      </c>
      <c r="Z215" s="39"/>
      <c r="AA215" s="39"/>
      <c r="AB215" t="s">
        <v>62</v>
      </c>
      <c r="AC215" s="42">
        <v>33240</v>
      </c>
      <c r="AD215" s="42">
        <v>34233</v>
      </c>
      <c r="AE215" s="53" t="s">
        <v>116</v>
      </c>
      <c r="AF215" s="54" t="s">
        <v>35</v>
      </c>
      <c r="AG215" s="54"/>
      <c r="AH215" s="39" t="s">
        <v>70</v>
      </c>
      <c r="AI215" s="39" t="s">
        <v>52</v>
      </c>
    </row>
    <row r="216" spans="1:35" ht="17" x14ac:dyDescent="0.2">
      <c r="A216">
        <v>99</v>
      </c>
      <c r="B216">
        <v>266</v>
      </c>
      <c r="C216" t="s">
        <v>4281</v>
      </c>
      <c r="D216" s="39" t="s">
        <v>1733</v>
      </c>
      <c r="E216" s="39" t="s">
        <v>561</v>
      </c>
      <c r="F216" s="39" t="s">
        <v>35</v>
      </c>
      <c r="G216" s="39" t="s">
        <v>194</v>
      </c>
      <c r="I216" s="39" t="s">
        <v>1734</v>
      </c>
      <c r="J216" s="39" t="s">
        <v>35</v>
      </c>
      <c r="L216" t="s">
        <v>35</v>
      </c>
      <c r="M216" s="6" t="s">
        <v>35</v>
      </c>
      <c r="P216" s="35"/>
      <c r="Q216" t="s">
        <v>35</v>
      </c>
      <c r="S216" s="6" t="s">
        <v>35</v>
      </c>
      <c r="T216" s="43" t="s">
        <v>35</v>
      </c>
      <c r="U216" s="43" t="s">
        <v>35</v>
      </c>
      <c r="W216" s="57"/>
      <c r="X216" s="57"/>
      <c r="Z216" s="39"/>
      <c r="AA216" s="39"/>
      <c r="AB216" t="s">
        <v>35</v>
      </c>
      <c r="AC216" s="42">
        <v>34789</v>
      </c>
      <c r="AD216" s="42">
        <v>35564</v>
      </c>
      <c r="AE216" s="53" t="s">
        <v>157</v>
      </c>
      <c r="AF216" s="54" t="s">
        <v>35</v>
      </c>
      <c r="AG216" s="54"/>
      <c r="AH216" s="39" t="s">
        <v>70</v>
      </c>
      <c r="AI216" s="39" t="s">
        <v>52</v>
      </c>
    </row>
    <row r="217" spans="1:35" ht="17" x14ac:dyDescent="0.2">
      <c r="A217">
        <v>153</v>
      </c>
      <c r="B217">
        <v>483</v>
      </c>
      <c r="C217" t="s">
        <v>4283</v>
      </c>
      <c r="D217" s="39" t="s">
        <v>2776</v>
      </c>
      <c r="E217" s="39" t="s">
        <v>561</v>
      </c>
      <c r="F217" s="39" t="s">
        <v>35</v>
      </c>
      <c r="G217" s="39" t="s">
        <v>205</v>
      </c>
      <c r="H217" s="34"/>
      <c r="I217" s="39" t="s">
        <v>2777</v>
      </c>
      <c r="J217" s="39" t="s">
        <v>35</v>
      </c>
      <c r="K217" t="s">
        <v>2778</v>
      </c>
      <c r="L217" t="s">
        <v>2779</v>
      </c>
      <c r="M217" s="6" t="s">
        <v>3589</v>
      </c>
      <c r="N217" t="s">
        <v>86</v>
      </c>
      <c r="O217" t="s">
        <v>49</v>
      </c>
      <c r="P217" s="35" t="s">
        <v>50</v>
      </c>
      <c r="Q217" t="s">
        <v>76</v>
      </c>
      <c r="R217" t="s">
        <v>2780</v>
      </c>
      <c r="S217" s="6" t="s">
        <v>4280</v>
      </c>
      <c r="T217" s="43" t="s">
        <v>482</v>
      </c>
      <c r="U217" s="43" t="s">
        <v>47</v>
      </c>
      <c r="V217" t="s">
        <v>49</v>
      </c>
      <c r="W217" s="57"/>
      <c r="X217" s="57"/>
      <c r="Y217" t="s">
        <v>50</v>
      </c>
      <c r="Z217" s="39"/>
      <c r="AA217" s="39"/>
      <c r="AB217" t="s">
        <v>558</v>
      </c>
      <c r="AC217" s="42">
        <v>36515</v>
      </c>
      <c r="AD217" s="42">
        <v>37649</v>
      </c>
      <c r="AE217" s="53" t="s">
        <v>403</v>
      </c>
      <c r="AF217" s="54" t="s">
        <v>35</v>
      </c>
      <c r="AG217" s="54"/>
      <c r="AH217" s="39" t="s">
        <v>52</v>
      </c>
      <c r="AI217" s="39" t="s">
        <v>70</v>
      </c>
    </row>
    <row r="218" spans="1:35" ht="17" x14ac:dyDescent="0.2">
      <c r="A218">
        <v>58</v>
      </c>
      <c r="B218">
        <v>75</v>
      </c>
      <c r="C218" t="s">
        <v>4288</v>
      </c>
      <c r="D218" s="39" t="s">
        <v>615</v>
      </c>
      <c r="E218" s="39" t="s">
        <v>616</v>
      </c>
      <c r="F218" s="39" t="s">
        <v>35</v>
      </c>
      <c r="G218" s="39" t="s">
        <v>194</v>
      </c>
      <c r="I218" s="39" t="s">
        <v>617</v>
      </c>
      <c r="J218" s="39" t="s">
        <v>618</v>
      </c>
      <c r="K218" t="s">
        <v>619</v>
      </c>
      <c r="L218" s="49" t="s">
        <v>620</v>
      </c>
      <c r="M218" s="6" t="s">
        <v>35</v>
      </c>
      <c r="N218" t="s">
        <v>86</v>
      </c>
      <c r="O218" t="s">
        <v>621</v>
      </c>
      <c r="P218" s="35" t="s">
        <v>622</v>
      </c>
      <c r="Q218" t="s">
        <v>44</v>
      </c>
      <c r="R218" t="s">
        <v>623</v>
      </c>
      <c r="S218" s="6" t="s">
        <v>35</v>
      </c>
      <c r="T218" s="43" t="s">
        <v>624</v>
      </c>
      <c r="U218" s="43" t="s">
        <v>625</v>
      </c>
      <c r="V218" t="s">
        <v>42</v>
      </c>
      <c r="W218" s="57"/>
      <c r="X218" s="57"/>
      <c r="Y218" t="s">
        <v>43</v>
      </c>
      <c r="Z218" s="39"/>
      <c r="AA218" s="39"/>
      <c r="AB218" t="s">
        <v>44</v>
      </c>
      <c r="AC218" s="42">
        <v>33419</v>
      </c>
      <c r="AD218" s="42">
        <v>34233</v>
      </c>
      <c r="AE218" s="53" t="s">
        <v>116</v>
      </c>
      <c r="AF218" s="54" t="s">
        <v>35</v>
      </c>
      <c r="AG218" s="54"/>
      <c r="AH218" s="39" t="s">
        <v>70</v>
      </c>
      <c r="AI218" s="39" t="s">
        <v>52</v>
      </c>
    </row>
    <row r="219" spans="1:35" ht="17" x14ac:dyDescent="0.2">
      <c r="A219">
        <v>86</v>
      </c>
      <c r="B219">
        <v>607</v>
      </c>
      <c r="C219" t="s">
        <v>4291</v>
      </c>
      <c r="D219" s="39" t="s">
        <v>3382</v>
      </c>
      <c r="E219" s="39" t="s">
        <v>616</v>
      </c>
      <c r="F219" s="39" t="s">
        <v>35</v>
      </c>
      <c r="G219" s="39" t="s">
        <v>194</v>
      </c>
      <c r="H219" s="34"/>
      <c r="I219" s="39" t="s">
        <v>35</v>
      </c>
      <c r="J219" s="39" t="s">
        <v>35</v>
      </c>
      <c r="K219" t="s">
        <v>35</v>
      </c>
      <c r="M219" s="6" t="s">
        <v>153</v>
      </c>
      <c r="P219" s="35"/>
      <c r="Q219" t="s">
        <v>35</v>
      </c>
      <c r="S219" s="6" t="s">
        <v>4287</v>
      </c>
      <c r="T219" s="43" t="s">
        <v>35</v>
      </c>
      <c r="U219" s="43" t="s">
        <v>35</v>
      </c>
      <c r="W219" s="57"/>
      <c r="X219" s="57"/>
      <c r="Z219" s="39"/>
      <c r="AA219" s="39"/>
      <c r="AB219" t="s">
        <v>35</v>
      </c>
      <c r="AC219" s="42">
        <v>34074</v>
      </c>
      <c r="AD219" s="42">
        <v>34236</v>
      </c>
      <c r="AE219" s="53" t="s">
        <v>51</v>
      </c>
      <c r="AF219" s="54" t="s">
        <v>35</v>
      </c>
      <c r="AG219" s="54"/>
      <c r="AH219" s="39" t="s">
        <v>52</v>
      </c>
      <c r="AI219" s="39" t="s">
        <v>52</v>
      </c>
    </row>
    <row r="220" spans="1:35" ht="17" x14ac:dyDescent="0.2">
      <c r="A220">
        <v>298</v>
      </c>
      <c r="B220">
        <v>149</v>
      </c>
      <c r="C220" t="s">
        <v>4292</v>
      </c>
      <c r="D220" s="39" t="s">
        <v>1101</v>
      </c>
      <c r="E220" s="39" t="s">
        <v>1102</v>
      </c>
      <c r="F220" s="39" t="s">
        <v>35</v>
      </c>
      <c r="G220" s="39" t="s">
        <v>55</v>
      </c>
      <c r="I220" s="39" t="s">
        <v>1103</v>
      </c>
      <c r="J220" s="39" t="s">
        <v>35</v>
      </c>
      <c r="K220" t="s">
        <v>1104</v>
      </c>
      <c r="L220" s="49" t="s">
        <v>1105</v>
      </c>
      <c r="M220" s="6" t="s">
        <v>5946</v>
      </c>
      <c r="N220" t="s">
        <v>59</v>
      </c>
      <c r="O220" t="s">
        <v>49</v>
      </c>
      <c r="P220" s="35" t="s">
        <v>50</v>
      </c>
      <c r="Q220" t="s">
        <v>62</v>
      </c>
      <c r="R220" t="s">
        <v>39</v>
      </c>
      <c r="S220" s="6" t="s">
        <v>4290</v>
      </c>
      <c r="T220" s="43" t="s">
        <v>1106</v>
      </c>
      <c r="U220" s="43" t="s">
        <v>254</v>
      </c>
      <c r="V220" t="s">
        <v>49</v>
      </c>
      <c r="W220" s="57"/>
      <c r="X220" s="57"/>
      <c r="Y220" t="s">
        <v>50</v>
      </c>
      <c r="Z220" s="39"/>
      <c r="AA220" s="39"/>
      <c r="AB220" t="s">
        <v>44</v>
      </c>
      <c r="AC220" s="42">
        <v>39238</v>
      </c>
      <c r="AD220" s="42">
        <v>39517</v>
      </c>
      <c r="AE220" s="53" t="s">
        <v>116</v>
      </c>
      <c r="AF220" s="54" t="s">
        <v>35</v>
      </c>
      <c r="AG220" s="54"/>
      <c r="AH220" s="39" t="s">
        <v>70</v>
      </c>
      <c r="AI220" s="39" t="s">
        <v>52</v>
      </c>
    </row>
    <row r="221" spans="1:35" ht="17" x14ac:dyDescent="0.2">
      <c r="A221">
        <v>482</v>
      </c>
      <c r="B221">
        <v>211</v>
      </c>
      <c r="C221" t="s">
        <v>4296</v>
      </c>
      <c r="D221" s="39" t="s">
        <v>1431</v>
      </c>
      <c r="E221" s="39" t="s">
        <v>1102</v>
      </c>
      <c r="F221" s="39" t="s">
        <v>35</v>
      </c>
      <c r="G221" s="39" t="s">
        <v>36</v>
      </c>
      <c r="I221" s="39" t="s">
        <v>1432</v>
      </c>
      <c r="J221" s="39" t="s">
        <v>35</v>
      </c>
      <c r="K221" t="s">
        <v>1433</v>
      </c>
      <c r="L221" t="s">
        <v>1434</v>
      </c>
      <c r="M221" s="6" t="s">
        <v>35</v>
      </c>
      <c r="N221" t="s">
        <v>97</v>
      </c>
      <c r="P221" s="35"/>
      <c r="Q221" t="s">
        <v>132</v>
      </c>
      <c r="R221" t="s">
        <v>1435</v>
      </c>
      <c r="S221" s="6" t="s">
        <v>35</v>
      </c>
      <c r="T221" s="43" t="s">
        <v>1396</v>
      </c>
      <c r="U221" s="43" t="s">
        <v>1436</v>
      </c>
      <c r="W221" s="57"/>
      <c r="X221" s="57"/>
      <c r="Z221" s="39"/>
      <c r="AA221" s="39"/>
      <c r="AB221" t="s">
        <v>132</v>
      </c>
      <c r="AC221" s="42">
        <v>2018</v>
      </c>
      <c r="AD221" s="42">
        <v>2021</v>
      </c>
      <c r="AE221" s="53" t="s">
        <v>559</v>
      </c>
      <c r="AF221" s="54" t="s">
        <v>35</v>
      </c>
      <c r="AG221" s="54"/>
      <c r="AH221" s="39" t="s">
        <v>52</v>
      </c>
      <c r="AI221" s="39" t="s">
        <v>70</v>
      </c>
    </row>
    <row r="222" spans="1:35" ht="17" x14ac:dyDescent="0.2">
      <c r="A222">
        <v>249</v>
      </c>
      <c r="B222">
        <v>225</v>
      </c>
      <c r="C222" t="s">
        <v>3873</v>
      </c>
      <c r="D222" s="39" t="s">
        <v>1519</v>
      </c>
      <c r="E222" s="39" t="s">
        <v>1102</v>
      </c>
      <c r="F222" s="39" t="s">
        <v>35</v>
      </c>
      <c r="G222" s="39" t="s">
        <v>82</v>
      </c>
      <c r="I222" s="39" t="s">
        <v>1520</v>
      </c>
      <c r="J222" s="39" t="s">
        <v>35</v>
      </c>
      <c r="K222" t="s">
        <v>1521</v>
      </c>
      <c r="L222" t="s">
        <v>142</v>
      </c>
      <c r="M222" s="6" t="s">
        <v>3517</v>
      </c>
      <c r="P222" s="35"/>
      <c r="Q222" t="s">
        <v>44</v>
      </c>
      <c r="R222" t="s">
        <v>1522</v>
      </c>
      <c r="S222" s="6" t="s">
        <v>40</v>
      </c>
      <c r="T222" s="43" t="s">
        <v>1523</v>
      </c>
      <c r="U222" s="43" t="s">
        <v>1524</v>
      </c>
      <c r="V222" t="s">
        <v>401</v>
      </c>
      <c r="W222" s="57"/>
      <c r="X222" s="57"/>
      <c r="Y222" t="s">
        <v>50</v>
      </c>
      <c r="Z222" s="39"/>
      <c r="AA222" s="39"/>
      <c r="AB222" t="s">
        <v>44</v>
      </c>
      <c r="AC222" s="42">
        <v>38353</v>
      </c>
      <c r="AD222" s="42" t="s">
        <v>35</v>
      </c>
      <c r="AE222" s="53" t="s">
        <v>51</v>
      </c>
      <c r="AF222" s="54" t="s">
        <v>35</v>
      </c>
      <c r="AG222" s="54"/>
      <c r="AH222" s="39" t="s">
        <v>52</v>
      </c>
      <c r="AI222" s="39" t="s">
        <v>52</v>
      </c>
    </row>
    <row r="223" spans="1:35" ht="17" x14ac:dyDescent="0.2">
      <c r="A223">
        <v>310</v>
      </c>
      <c r="B223">
        <v>431</v>
      </c>
      <c r="C223" t="s">
        <v>4301</v>
      </c>
      <c r="D223" s="39" t="s">
        <v>2549</v>
      </c>
      <c r="E223" s="39" t="s">
        <v>1102</v>
      </c>
      <c r="F223" s="39" t="s">
        <v>35</v>
      </c>
      <c r="G223" s="39" t="s">
        <v>55</v>
      </c>
      <c r="I223" s="39" t="s">
        <v>2550</v>
      </c>
      <c r="J223" s="39" t="s">
        <v>35</v>
      </c>
      <c r="K223" t="s">
        <v>2551</v>
      </c>
      <c r="L223" t="s">
        <v>2552</v>
      </c>
      <c r="M223" s="6" t="s">
        <v>5947</v>
      </c>
      <c r="P223" s="35"/>
      <c r="Q223" t="s">
        <v>35</v>
      </c>
      <c r="R223" t="s">
        <v>2553</v>
      </c>
      <c r="S223" s="6" t="s">
        <v>5947</v>
      </c>
      <c r="T223" s="43" t="s">
        <v>713</v>
      </c>
      <c r="U223" s="43" t="s">
        <v>65</v>
      </c>
      <c r="V223" t="s">
        <v>2554</v>
      </c>
      <c r="W223" s="57"/>
      <c r="X223" s="57"/>
      <c r="Y223" t="s">
        <v>972</v>
      </c>
      <c r="Z223" s="39"/>
      <c r="AA223" s="39"/>
      <c r="AB223" t="s">
        <v>200</v>
      </c>
      <c r="AC223" s="42">
        <v>39476</v>
      </c>
      <c r="AD223" s="42">
        <v>39882</v>
      </c>
      <c r="AE223" s="53" t="s">
        <v>68</v>
      </c>
      <c r="AF223" s="54" t="s">
        <v>35</v>
      </c>
      <c r="AG223" s="54"/>
      <c r="AH223" s="39" t="s">
        <v>70</v>
      </c>
      <c r="AI223" s="39" t="s">
        <v>52</v>
      </c>
    </row>
    <row r="224" spans="1:35" ht="17" x14ac:dyDescent="0.2">
      <c r="A224">
        <v>346</v>
      </c>
      <c r="B224">
        <v>521</v>
      </c>
      <c r="C224" t="s">
        <v>4306</v>
      </c>
      <c r="D224" s="39" t="s">
        <v>2960</v>
      </c>
      <c r="E224" s="39" t="s">
        <v>1102</v>
      </c>
      <c r="F224" s="39" t="s">
        <v>35</v>
      </c>
      <c r="G224" s="39" t="s">
        <v>160</v>
      </c>
      <c r="I224" s="39" t="s">
        <v>2961</v>
      </c>
      <c r="J224" s="39" t="s">
        <v>35</v>
      </c>
      <c r="K224" t="s">
        <v>2962</v>
      </c>
      <c r="L224" t="s">
        <v>2963</v>
      </c>
      <c r="M224" s="6" t="s">
        <v>5948</v>
      </c>
      <c r="N224" t="s">
        <v>59</v>
      </c>
      <c r="O224" t="s">
        <v>49</v>
      </c>
      <c r="P224" s="35" t="s">
        <v>50</v>
      </c>
      <c r="Q224" t="s">
        <v>44</v>
      </c>
      <c r="R224" t="s">
        <v>355</v>
      </c>
      <c r="S224" s="6" t="s">
        <v>4148</v>
      </c>
      <c r="T224" s="43" t="s">
        <v>308</v>
      </c>
      <c r="U224" s="43" t="s">
        <v>66</v>
      </c>
      <c r="V224" t="s">
        <v>42</v>
      </c>
      <c r="W224" s="57"/>
      <c r="X224" s="57"/>
      <c r="Y224" t="s">
        <v>43</v>
      </c>
      <c r="Z224" s="39"/>
      <c r="AA224" s="39"/>
      <c r="AB224" t="s">
        <v>44</v>
      </c>
      <c r="AC224" s="42">
        <v>40687</v>
      </c>
      <c r="AD224" s="42">
        <v>41771</v>
      </c>
      <c r="AE224" s="53" t="s">
        <v>51</v>
      </c>
      <c r="AF224" s="54" t="s">
        <v>35</v>
      </c>
      <c r="AG224" s="54"/>
      <c r="AH224" s="39" t="s">
        <v>52</v>
      </c>
      <c r="AI224" s="39" t="s">
        <v>52</v>
      </c>
    </row>
    <row r="225" spans="1:35" ht="17" x14ac:dyDescent="0.2">
      <c r="B225">
        <v>547</v>
      </c>
      <c r="C225" t="s">
        <v>4308</v>
      </c>
      <c r="D225" s="39" t="s">
        <v>3095</v>
      </c>
      <c r="E225" s="39" t="s">
        <v>1102</v>
      </c>
      <c r="F225" s="39" t="s">
        <v>35</v>
      </c>
      <c r="G225" s="39" t="s">
        <v>35</v>
      </c>
      <c r="H225" s="34"/>
      <c r="I225" s="39" t="s">
        <v>35</v>
      </c>
      <c r="J225" s="39" t="s">
        <v>35</v>
      </c>
      <c r="K225" t="s">
        <v>35</v>
      </c>
      <c r="M225" s="6" t="s">
        <v>703</v>
      </c>
      <c r="P225" s="35"/>
      <c r="Q225" t="s">
        <v>35</v>
      </c>
      <c r="S225" s="6" t="s">
        <v>68</v>
      </c>
      <c r="T225" s="43" t="s">
        <v>35</v>
      </c>
      <c r="U225" s="43" t="s">
        <v>35</v>
      </c>
      <c r="W225" s="57"/>
      <c r="X225" s="57"/>
      <c r="Z225" s="39"/>
      <c r="AA225" s="39"/>
      <c r="AB225" t="s">
        <v>35</v>
      </c>
      <c r="AD225" s="42" t="s">
        <v>35</v>
      </c>
      <c r="AE225" s="53" t="s">
        <v>51</v>
      </c>
      <c r="AF225" s="54" t="s">
        <v>35</v>
      </c>
      <c r="AG225" s="54"/>
      <c r="AH225" s="39" t="s">
        <v>52</v>
      </c>
      <c r="AI225" s="39" t="s">
        <v>52</v>
      </c>
    </row>
    <row r="226" spans="1:35" ht="17" x14ac:dyDescent="0.2">
      <c r="A226">
        <v>471</v>
      </c>
      <c r="B226">
        <v>566</v>
      </c>
      <c r="C226" t="s">
        <v>4309</v>
      </c>
      <c r="D226" s="39" t="s">
        <v>3191</v>
      </c>
      <c r="E226" s="39" t="s">
        <v>1102</v>
      </c>
      <c r="F226" s="39" t="s">
        <v>35</v>
      </c>
      <c r="G226" s="39" t="s">
        <v>36</v>
      </c>
      <c r="I226" s="39" t="s">
        <v>3192</v>
      </c>
      <c r="J226" s="39" t="s">
        <v>35</v>
      </c>
      <c r="K226" t="s">
        <v>3193</v>
      </c>
      <c r="L226" t="s">
        <v>75</v>
      </c>
      <c r="M226" s="6" t="s">
        <v>5949</v>
      </c>
      <c r="N226" t="s">
        <v>41</v>
      </c>
      <c r="O226" t="s">
        <v>565</v>
      </c>
      <c r="P226" s="35" t="s">
        <v>566</v>
      </c>
      <c r="Q226" t="s">
        <v>115</v>
      </c>
      <c r="R226" t="s">
        <v>171</v>
      </c>
      <c r="S226" s="6" t="s">
        <v>212</v>
      </c>
      <c r="T226" s="43" t="s">
        <v>1267</v>
      </c>
      <c r="U226" s="43" t="s">
        <v>48</v>
      </c>
      <c r="V226" t="s">
        <v>49</v>
      </c>
      <c r="W226" s="57"/>
      <c r="X226" s="57"/>
      <c r="Y226" t="s">
        <v>50</v>
      </c>
      <c r="Z226" s="39"/>
      <c r="AA226" s="39"/>
      <c r="AB226" t="s">
        <v>62</v>
      </c>
      <c r="AC226" s="42">
        <v>43255</v>
      </c>
      <c r="AD226" s="42">
        <v>43805</v>
      </c>
      <c r="AE226" s="53" t="s">
        <v>425</v>
      </c>
      <c r="AF226" s="54" t="s">
        <v>35</v>
      </c>
      <c r="AG226" s="54"/>
      <c r="AH226" s="39" t="s">
        <v>52</v>
      </c>
      <c r="AI226" s="39" t="s">
        <v>52</v>
      </c>
    </row>
    <row r="227" spans="1:35" ht="17" x14ac:dyDescent="0.2">
      <c r="A227">
        <v>451</v>
      </c>
      <c r="B227">
        <v>83</v>
      </c>
      <c r="C227" t="s">
        <v>4314</v>
      </c>
      <c r="D227" s="39" t="s">
        <v>673</v>
      </c>
      <c r="E227" s="39" t="s">
        <v>674</v>
      </c>
      <c r="F227" s="39" t="s">
        <v>35</v>
      </c>
      <c r="G227" s="39" t="s">
        <v>36</v>
      </c>
      <c r="I227" s="39" t="s">
        <v>675</v>
      </c>
      <c r="J227" s="39" t="s">
        <v>35</v>
      </c>
      <c r="K227" t="s">
        <v>676</v>
      </c>
      <c r="L227" s="49" t="s">
        <v>677</v>
      </c>
      <c r="M227" s="6" t="s">
        <v>35</v>
      </c>
      <c r="N227" t="s">
        <v>41</v>
      </c>
      <c r="O227" t="s">
        <v>49</v>
      </c>
      <c r="P227" s="35" t="s">
        <v>50</v>
      </c>
      <c r="Q227" t="s">
        <v>132</v>
      </c>
      <c r="S227" s="6" t="s">
        <v>35</v>
      </c>
      <c r="T227" s="43" t="s">
        <v>35</v>
      </c>
      <c r="U227" s="43" t="s">
        <v>35</v>
      </c>
      <c r="W227" s="57"/>
      <c r="X227" s="57"/>
      <c r="Z227" s="39"/>
      <c r="AA227" s="39"/>
      <c r="AB227" t="s">
        <v>35</v>
      </c>
      <c r="AC227" s="42">
        <v>43115</v>
      </c>
      <c r="AD227" s="42">
        <v>43402</v>
      </c>
      <c r="AE227" s="53" t="s">
        <v>51</v>
      </c>
      <c r="AF227" s="54" t="s">
        <v>35</v>
      </c>
      <c r="AG227" s="54"/>
      <c r="AH227" s="39" t="s">
        <v>52</v>
      </c>
      <c r="AI227" s="39" t="s">
        <v>52</v>
      </c>
    </row>
    <row r="228" spans="1:35" ht="17" x14ac:dyDescent="0.2">
      <c r="A228">
        <v>342</v>
      </c>
      <c r="B228">
        <v>182</v>
      </c>
      <c r="C228" t="s">
        <v>4319</v>
      </c>
      <c r="D228" s="39" t="s">
        <v>1280</v>
      </c>
      <c r="E228" s="39" t="s">
        <v>674</v>
      </c>
      <c r="F228" s="39" t="s">
        <v>35</v>
      </c>
      <c r="G228" s="39" t="s">
        <v>160</v>
      </c>
      <c r="I228" s="39" t="s">
        <v>1281</v>
      </c>
      <c r="J228" s="39" t="s">
        <v>35</v>
      </c>
      <c r="K228" t="s">
        <v>1282</v>
      </c>
      <c r="L228" s="49" t="s">
        <v>845</v>
      </c>
      <c r="M228" s="6" t="s">
        <v>5950</v>
      </c>
      <c r="N228" t="s">
        <v>86</v>
      </c>
      <c r="O228" t="s">
        <v>49</v>
      </c>
      <c r="P228" s="35" t="s">
        <v>50</v>
      </c>
      <c r="Q228" t="s">
        <v>115</v>
      </c>
      <c r="R228" t="s">
        <v>837</v>
      </c>
      <c r="S228" s="6" t="s">
        <v>6181</v>
      </c>
      <c r="T228" s="43" t="s">
        <v>89</v>
      </c>
      <c r="U228" s="43" t="s">
        <v>135</v>
      </c>
      <c r="V228" t="s">
        <v>49</v>
      </c>
      <c r="W228" s="57"/>
      <c r="X228" s="57"/>
      <c r="Y228" t="s">
        <v>50</v>
      </c>
      <c r="Z228" s="39"/>
      <c r="AA228" s="39"/>
      <c r="AB228" t="s">
        <v>115</v>
      </c>
      <c r="AC228" s="42">
        <v>40687</v>
      </c>
      <c r="AD228" s="42">
        <v>41708</v>
      </c>
      <c r="AE228" s="53" t="s">
        <v>157</v>
      </c>
      <c r="AF228" s="54" t="s">
        <v>35</v>
      </c>
      <c r="AG228" s="54"/>
      <c r="AH228" s="39" t="s">
        <v>70</v>
      </c>
      <c r="AI228" s="39" t="s">
        <v>52</v>
      </c>
    </row>
    <row r="229" spans="1:35" ht="17" x14ac:dyDescent="0.2">
      <c r="A229" t="s">
        <v>35</v>
      </c>
      <c r="B229">
        <v>209</v>
      </c>
      <c r="C229" t="s">
        <v>5790</v>
      </c>
      <c r="D229" s="39" t="s">
        <v>1419</v>
      </c>
      <c r="E229" s="39" t="s">
        <v>674</v>
      </c>
      <c r="F229" s="39" t="s">
        <v>1420</v>
      </c>
      <c r="G229" s="39" t="s">
        <v>36</v>
      </c>
      <c r="I229" s="39" t="s">
        <v>1421</v>
      </c>
      <c r="J229" s="39" t="s">
        <v>35</v>
      </c>
      <c r="K229" t="s">
        <v>1422</v>
      </c>
      <c r="L229" t="s">
        <v>1423</v>
      </c>
      <c r="M229" s="6" t="s">
        <v>212</v>
      </c>
      <c r="N229" t="s">
        <v>131</v>
      </c>
      <c r="O229" t="s">
        <v>123</v>
      </c>
      <c r="P229" s="35" t="s">
        <v>99</v>
      </c>
      <c r="Q229" t="s">
        <v>44</v>
      </c>
      <c r="R229" t="s">
        <v>1424</v>
      </c>
      <c r="S229" s="6" t="s">
        <v>35</v>
      </c>
      <c r="T229" s="43" t="s">
        <v>494</v>
      </c>
      <c r="U229" s="43" t="s">
        <v>494</v>
      </c>
      <c r="V229" t="s">
        <v>49</v>
      </c>
      <c r="W229" s="57"/>
      <c r="X229" s="57"/>
      <c r="Y229" t="s">
        <v>50</v>
      </c>
      <c r="Z229" s="39"/>
      <c r="AA229" s="39"/>
      <c r="AB229" t="s">
        <v>44</v>
      </c>
      <c r="AC229" s="42">
        <v>44197</v>
      </c>
      <c r="AD229" s="42">
        <v>44565</v>
      </c>
      <c r="AE229" s="53" t="s">
        <v>51</v>
      </c>
      <c r="AF229" s="54" t="s">
        <v>35</v>
      </c>
      <c r="AG229" s="54"/>
      <c r="AH229" s="39" t="s">
        <v>52</v>
      </c>
      <c r="AI229" s="39" t="s">
        <v>52</v>
      </c>
    </row>
    <row r="230" spans="1:35" ht="17" x14ac:dyDescent="0.2">
      <c r="A230">
        <v>300</v>
      </c>
      <c r="B230">
        <v>302</v>
      </c>
      <c r="C230" t="s">
        <v>4323</v>
      </c>
      <c r="D230" s="39" t="s">
        <v>1902</v>
      </c>
      <c r="E230" s="39" t="s">
        <v>674</v>
      </c>
      <c r="F230" s="39" t="s">
        <v>35</v>
      </c>
      <c r="G230" s="39" t="s">
        <v>55</v>
      </c>
      <c r="I230" s="39" t="s">
        <v>1903</v>
      </c>
      <c r="J230" s="39" t="s">
        <v>35</v>
      </c>
      <c r="K230" t="s">
        <v>1904</v>
      </c>
      <c r="L230" t="s">
        <v>1905</v>
      </c>
      <c r="M230" s="6" t="s">
        <v>5951</v>
      </c>
      <c r="N230" t="s">
        <v>41</v>
      </c>
      <c r="O230" t="s">
        <v>49</v>
      </c>
      <c r="P230" s="35" t="s">
        <v>50</v>
      </c>
      <c r="Q230" t="s">
        <v>62</v>
      </c>
      <c r="R230" t="s">
        <v>171</v>
      </c>
      <c r="S230" s="6" t="s">
        <v>6182</v>
      </c>
      <c r="T230" s="43" t="s">
        <v>1906</v>
      </c>
      <c r="U230" s="43" t="s">
        <v>1907</v>
      </c>
      <c r="V230" t="s">
        <v>49</v>
      </c>
      <c r="W230" s="57"/>
      <c r="X230" s="57"/>
      <c r="Y230" t="s">
        <v>50</v>
      </c>
      <c r="Z230" s="39"/>
      <c r="AA230" s="39"/>
      <c r="AB230" t="s">
        <v>62</v>
      </c>
      <c r="AC230" s="42">
        <v>39238</v>
      </c>
      <c r="AD230" s="42">
        <v>39882</v>
      </c>
      <c r="AE230" s="53" t="s">
        <v>51</v>
      </c>
      <c r="AF230" s="54" t="s">
        <v>35</v>
      </c>
      <c r="AG230" s="54"/>
      <c r="AH230" s="39" t="s">
        <v>52</v>
      </c>
      <c r="AI230" s="39" t="s">
        <v>52</v>
      </c>
    </row>
    <row r="231" spans="1:35" ht="17" x14ac:dyDescent="0.2">
      <c r="A231">
        <v>369</v>
      </c>
      <c r="B231">
        <v>314</v>
      </c>
      <c r="C231" t="s">
        <v>4326</v>
      </c>
      <c r="D231" s="39" t="s">
        <v>1968</v>
      </c>
      <c r="E231" s="39" t="s">
        <v>674</v>
      </c>
      <c r="F231" s="39" t="s">
        <v>35</v>
      </c>
      <c r="G231" s="39" t="s">
        <v>160</v>
      </c>
      <c r="I231" s="39" t="s">
        <v>1969</v>
      </c>
      <c r="J231" s="39" t="s">
        <v>1970</v>
      </c>
      <c r="K231" t="s">
        <v>1971</v>
      </c>
      <c r="L231" t="s">
        <v>1972</v>
      </c>
      <c r="M231" s="6" t="s">
        <v>5952</v>
      </c>
      <c r="N231" t="s">
        <v>86</v>
      </c>
      <c r="O231" t="s">
        <v>42</v>
      </c>
      <c r="P231" s="35" t="s">
        <v>43</v>
      </c>
      <c r="Q231" t="s">
        <v>44</v>
      </c>
      <c r="R231" t="s">
        <v>657</v>
      </c>
      <c r="S231" s="6" t="s">
        <v>6183</v>
      </c>
      <c r="T231" s="43" t="s">
        <v>768</v>
      </c>
      <c r="U231" s="43" t="s">
        <v>280</v>
      </c>
      <c r="V231" t="s">
        <v>42</v>
      </c>
      <c r="W231" s="57"/>
      <c r="X231" s="57"/>
      <c r="Y231" t="s">
        <v>43</v>
      </c>
      <c r="Z231" s="39"/>
      <c r="AA231" s="39"/>
      <c r="AB231" t="s">
        <v>44</v>
      </c>
      <c r="AC231" s="42">
        <v>41310</v>
      </c>
      <c r="AD231" s="42">
        <v>41771</v>
      </c>
      <c r="AE231" s="53" t="s">
        <v>51</v>
      </c>
      <c r="AF231" s="54" t="s">
        <v>35</v>
      </c>
      <c r="AG231" s="54"/>
      <c r="AH231" s="39" t="s">
        <v>52</v>
      </c>
      <c r="AI231" s="39" t="s">
        <v>52</v>
      </c>
    </row>
    <row r="232" spans="1:35" ht="17" x14ac:dyDescent="0.2">
      <c r="A232">
        <v>550</v>
      </c>
      <c r="B232">
        <v>450</v>
      </c>
      <c r="C232" t="s">
        <v>5818</v>
      </c>
      <c r="D232" s="39" t="s">
        <v>2625</v>
      </c>
      <c r="E232" s="39" t="s">
        <v>674</v>
      </c>
      <c r="F232" s="39" t="s">
        <v>35</v>
      </c>
      <c r="G232" s="39" t="s">
        <v>36</v>
      </c>
      <c r="I232" s="39" t="s">
        <v>2626</v>
      </c>
      <c r="J232" s="39" t="s">
        <v>35</v>
      </c>
      <c r="K232" t="s">
        <v>2627</v>
      </c>
      <c r="L232" t="s">
        <v>631</v>
      </c>
      <c r="M232" s="6" t="s">
        <v>4392</v>
      </c>
      <c r="N232" t="s">
        <v>131</v>
      </c>
      <c r="O232" t="s">
        <v>49</v>
      </c>
      <c r="P232" s="35" t="s">
        <v>50</v>
      </c>
      <c r="Q232" t="s">
        <v>62</v>
      </c>
      <c r="R232" t="s">
        <v>573</v>
      </c>
      <c r="S232" s="6" t="s">
        <v>3839</v>
      </c>
      <c r="T232" s="43" t="s">
        <v>494</v>
      </c>
      <c r="U232" s="43" t="s">
        <v>494</v>
      </c>
      <c r="W232" s="57"/>
      <c r="X232" s="57"/>
      <c r="Z232" s="39"/>
      <c r="AA232" s="39"/>
      <c r="AB232" t="s">
        <v>44</v>
      </c>
      <c r="AC232" s="42">
        <v>43840</v>
      </c>
      <c r="AD232" s="42">
        <v>44571</v>
      </c>
      <c r="AE232" s="53" t="s">
        <v>68</v>
      </c>
      <c r="AF232" s="54" t="s">
        <v>35</v>
      </c>
      <c r="AG232" s="54"/>
      <c r="AH232" s="39" t="s">
        <v>70</v>
      </c>
      <c r="AI232" s="39" t="s">
        <v>70</v>
      </c>
    </row>
    <row r="233" spans="1:35" ht="17" x14ac:dyDescent="0.2">
      <c r="A233">
        <v>496</v>
      </c>
      <c r="B233">
        <v>453</v>
      </c>
      <c r="C233" t="s">
        <v>4328</v>
      </c>
      <c r="D233" s="39" t="s">
        <v>2638</v>
      </c>
      <c r="E233" s="39" t="s">
        <v>674</v>
      </c>
      <c r="F233" s="39" t="s">
        <v>35</v>
      </c>
      <c r="G233" s="39" t="s">
        <v>36</v>
      </c>
      <c r="H233" s="34"/>
      <c r="I233" s="39" t="s">
        <v>2639</v>
      </c>
      <c r="J233" s="39" t="s">
        <v>2640</v>
      </c>
      <c r="K233" t="s">
        <v>2641</v>
      </c>
      <c r="L233" t="s">
        <v>564</v>
      </c>
      <c r="M233" s="6" t="s">
        <v>5953</v>
      </c>
      <c r="N233" t="s">
        <v>59</v>
      </c>
      <c r="O233" t="s">
        <v>572</v>
      </c>
      <c r="P233" s="35" t="s">
        <v>566</v>
      </c>
      <c r="Q233" t="s">
        <v>35</v>
      </c>
      <c r="R233" t="s">
        <v>1447</v>
      </c>
      <c r="S233" s="6" t="s">
        <v>3476</v>
      </c>
      <c r="T233" s="43" t="s">
        <v>246</v>
      </c>
      <c r="U233" s="43" t="s">
        <v>1877</v>
      </c>
      <c r="V233" t="s">
        <v>621</v>
      </c>
      <c r="W233" s="57"/>
      <c r="X233" s="57"/>
      <c r="Y233" t="s">
        <v>622</v>
      </c>
      <c r="Z233" s="39"/>
      <c r="AA233" s="39"/>
      <c r="AB233" t="s">
        <v>62</v>
      </c>
      <c r="AC233" s="42">
        <v>43626</v>
      </c>
      <c r="AD233" s="42">
        <v>44197</v>
      </c>
      <c r="AE233" s="53" t="s">
        <v>51</v>
      </c>
      <c r="AF233" s="54" t="s">
        <v>35</v>
      </c>
      <c r="AG233" s="54"/>
      <c r="AH233" s="39" t="s">
        <v>52</v>
      </c>
      <c r="AI233" s="39" t="s">
        <v>52</v>
      </c>
    </row>
    <row r="234" spans="1:35" ht="17" x14ac:dyDescent="0.2">
      <c r="A234">
        <v>329</v>
      </c>
      <c r="B234">
        <v>594</v>
      </c>
      <c r="C234" t="s">
        <v>4334</v>
      </c>
      <c r="D234" s="39" t="s">
        <v>3319</v>
      </c>
      <c r="E234" s="39" t="s">
        <v>674</v>
      </c>
      <c r="F234" s="39" t="s">
        <v>35</v>
      </c>
      <c r="G234" s="39" t="s">
        <v>55</v>
      </c>
      <c r="I234" s="39" t="s">
        <v>3320</v>
      </c>
      <c r="J234" s="39" t="s">
        <v>35</v>
      </c>
      <c r="K234" t="s">
        <v>3321</v>
      </c>
      <c r="L234" t="s">
        <v>3322</v>
      </c>
      <c r="M234" s="6" t="s">
        <v>51</v>
      </c>
      <c r="N234" t="s">
        <v>86</v>
      </c>
      <c r="O234" t="s">
        <v>1151</v>
      </c>
      <c r="P234" s="35" t="s">
        <v>640</v>
      </c>
      <c r="Q234" t="s">
        <v>62</v>
      </c>
      <c r="R234" t="s">
        <v>58</v>
      </c>
      <c r="S234" s="6" t="s">
        <v>6184</v>
      </c>
      <c r="T234" s="43" t="s">
        <v>1204</v>
      </c>
      <c r="U234" s="43" t="s">
        <v>789</v>
      </c>
      <c r="V234" t="s">
        <v>49</v>
      </c>
      <c r="W234" s="57"/>
      <c r="X234" s="57"/>
      <c r="Y234" t="s">
        <v>50</v>
      </c>
      <c r="Z234" s="39"/>
      <c r="AA234" s="39"/>
      <c r="AB234" t="s">
        <v>62</v>
      </c>
      <c r="AC234" s="42">
        <v>40239</v>
      </c>
      <c r="AD234" s="42">
        <v>41639</v>
      </c>
      <c r="AE234" s="53" t="s">
        <v>453</v>
      </c>
      <c r="AF234" s="54" t="s">
        <v>35</v>
      </c>
      <c r="AG234" s="54"/>
      <c r="AH234" s="39" t="s">
        <v>70</v>
      </c>
      <c r="AI234" s="39" t="s">
        <v>52</v>
      </c>
    </row>
    <row r="235" spans="1:35" ht="17" x14ac:dyDescent="0.2">
      <c r="A235">
        <v>487</v>
      </c>
      <c r="B235">
        <v>334</v>
      </c>
      <c r="C235" t="s">
        <v>4342</v>
      </c>
      <c r="D235" s="39" t="s">
        <v>2075</v>
      </c>
      <c r="E235" s="39" t="s">
        <v>2076</v>
      </c>
      <c r="F235" s="39" t="s">
        <v>35</v>
      </c>
      <c r="G235" s="39" t="s">
        <v>36</v>
      </c>
      <c r="I235" s="39" t="s">
        <v>2077</v>
      </c>
      <c r="J235" s="39" t="s">
        <v>35</v>
      </c>
      <c r="K235" t="s">
        <v>2078</v>
      </c>
      <c r="L235" t="s">
        <v>2079</v>
      </c>
      <c r="M235" s="6" t="s">
        <v>5954</v>
      </c>
      <c r="N235" t="s">
        <v>59</v>
      </c>
      <c r="P235" s="35"/>
      <c r="Q235" t="s">
        <v>35</v>
      </c>
      <c r="R235" t="s">
        <v>2080</v>
      </c>
      <c r="S235" s="6" t="s">
        <v>6185</v>
      </c>
      <c r="T235" s="43" t="s">
        <v>896</v>
      </c>
      <c r="U235" s="43" t="s">
        <v>134</v>
      </c>
      <c r="V235" t="s">
        <v>49</v>
      </c>
      <c r="W235" s="57"/>
      <c r="X235" s="57"/>
      <c r="Y235" t="s">
        <v>50</v>
      </c>
      <c r="Z235" s="39"/>
      <c r="AA235" s="39"/>
      <c r="AB235" t="s">
        <v>62</v>
      </c>
      <c r="AC235" s="42">
        <v>43282</v>
      </c>
      <c r="AD235" s="42">
        <v>2022</v>
      </c>
      <c r="AE235" s="53" t="s">
        <v>730</v>
      </c>
      <c r="AF235" s="54" t="s">
        <v>403</v>
      </c>
      <c r="AG235" s="54"/>
      <c r="AH235" s="39" t="s">
        <v>52</v>
      </c>
      <c r="AI235" s="39" t="s">
        <v>70</v>
      </c>
    </row>
    <row r="236" spans="1:35" ht="17" x14ac:dyDescent="0.2">
      <c r="A236">
        <v>432</v>
      </c>
      <c r="B236">
        <v>442</v>
      </c>
      <c r="C236" t="s">
        <v>4343</v>
      </c>
      <c r="D236" s="39" t="s">
        <v>2596</v>
      </c>
      <c r="E236" s="39" t="s">
        <v>2076</v>
      </c>
      <c r="F236" s="39" t="s">
        <v>35</v>
      </c>
      <c r="G236" s="39" t="s">
        <v>36</v>
      </c>
      <c r="H236" s="34"/>
      <c r="I236" s="39" t="s">
        <v>2597</v>
      </c>
      <c r="J236" s="39" t="s">
        <v>35</v>
      </c>
      <c r="K236" t="s">
        <v>2598</v>
      </c>
      <c r="L236" t="s">
        <v>1383</v>
      </c>
      <c r="M236" s="6" t="s">
        <v>5955</v>
      </c>
      <c r="N236" s="37" t="s">
        <v>59</v>
      </c>
      <c r="O236" t="s">
        <v>60</v>
      </c>
      <c r="P236" s="35" t="s">
        <v>61</v>
      </c>
      <c r="Q236" t="s">
        <v>62</v>
      </c>
      <c r="R236" t="s">
        <v>171</v>
      </c>
      <c r="S236" s="6" t="s">
        <v>3501</v>
      </c>
      <c r="T236" s="43" t="s">
        <v>189</v>
      </c>
      <c r="U236" s="43" t="s">
        <v>387</v>
      </c>
      <c r="V236" t="s">
        <v>639</v>
      </c>
      <c r="W236" s="57"/>
      <c r="X236" s="57"/>
      <c r="Y236" t="s">
        <v>640</v>
      </c>
      <c r="Z236" s="39"/>
      <c r="AA236" s="39"/>
      <c r="AB236" t="s">
        <v>62</v>
      </c>
      <c r="AC236" s="42">
        <v>42751</v>
      </c>
      <c r="AD236" s="42">
        <v>43465</v>
      </c>
      <c r="AE236" s="53" t="s">
        <v>51</v>
      </c>
      <c r="AF236" s="54" t="s">
        <v>35</v>
      </c>
      <c r="AG236" s="54"/>
      <c r="AH236" s="39" t="s">
        <v>52</v>
      </c>
      <c r="AI236" s="39" t="s">
        <v>52</v>
      </c>
    </row>
    <row r="237" spans="1:35" ht="17" x14ac:dyDescent="0.2">
      <c r="A237">
        <v>305</v>
      </c>
      <c r="B237">
        <v>504</v>
      </c>
      <c r="C237" t="s">
        <v>4348</v>
      </c>
      <c r="D237" s="39" t="s">
        <v>2877</v>
      </c>
      <c r="E237" s="39" t="s">
        <v>2076</v>
      </c>
      <c r="F237" s="39" t="s">
        <v>35</v>
      </c>
      <c r="G237" s="39" t="s">
        <v>55</v>
      </c>
      <c r="H237" s="34"/>
      <c r="I237" s="39" t="s">
        <v>2878</v>
      </c>
      <c r="J237" s="39" t="s">
        <v>35</v>
      </c>
      <c r="K237" t="s">
        <v>2879</v>
      </c>
      <c r="M237" s="6" t="s">
        <v>3493</v>
      </c>
      <c r="P237" s="35"/>
      <c r="Q237" t="s">
        <v>35</v>
      </c>
      <c r="S237" s="6" t="s">
        <v>3493</v>
      </c>
      <c r="T237" s="43" t="s">
        <v>35</v>
      </c>
      <c r="U237" s="43" t="s">
        <v>35</v>
      </c>
      <c r="W237" s="57"/>
      <c r="X237" s="57"/>
      <c r="Z237" s="39"/>
      <c r="AA237" s="39"/>
      <c r="AB237" t="s">
        <v>35</v>
      </c>
      <c r="AC237" s="42">
        <v>39238</v>
      </c>
      <c r="AD237" s="42">
        <v>40330</v>
      </c>
      <c r="AE237" s="53" t="s">
        <v>51</v>
      </c>
      <c r="AF237" s="54" t="s">
        <v>35</v>
      </c>
      <c r="AG237" s="54"/>
      <c r="AH237" s="39" t="s">
        <v>52</v>
      </c>
      <c r="AI237" s="39" t="s">
        <v>52</v>
      </c>
    </row>
    <row r="238" spans="1:35" ht="17" x14ac:dyDescent="0.2">
      <c r="A238">
        <v>552</v>
      </c>
      <c r="B238">
        <v>567</v>
      </c>
      <c r="C238" t="s">
        <v>4350</v>
      </c>
      <c r="D238" s="39" t="s">
        <v>3194</v>
      </c>
      <c r="E238" s="39" t="s">
        <v>2076</v>
      </c>
      <c r="F238" s="39" t="s">
        <v>35</v>
      </c>
      <c r="G238" s="39" t="s">
        <v>36</v>
      </c>
      <c r="H238" s="34"/>
      <c r="I238" s="39" t="s">
        <v>3195</v>
      </c>
      <c r="J238" s="39" t="s">
        <v>3196</v>
      </c>
      <c r="K238" t="s">
        <v>3197</v>
      </c>
      <c r="L238" t="s">
        <v>631</v>
      </c>
      <c r="M238" s="6" t="s">
        <v>5956</v>
      </c>
      <c r="N238" t="s">
        <v>59</v>
      </c>
      <c r="O238" t="s">
        <v>49</v>
      </c>
      <c r="P238" s="35" t="s">
        <v>50</v>
      </c>
      <c r="Q238" t="s">
        <v>62</v>
      </c>
      <c r="R238" t="s">
        <v>1633</v>
      </c>
      <c r="S238" s="6" t="s">
        <v>6186</v>
      </c>
      <c r="T238" s="43" t="s">
        <v>78</v>
      </c>
      <c r="U238" s="43" t="s">
        <v>154</v>
      </c>
      <c r="V238" t="s">
        <v>49</v>
      </c>
      <c r="W238" s="57"/>
      <c r="X238" s="57"/>
      <c r="Y238" t="s">
        <v>50</v>
      </c>
      <c r="Z238" s="39"/>
      <c r="AA238" s="39"/>
      <c r="AB238" t="s">
        <v>62</v>
      </c>
      <c r="AC238" s="42">
        <v>44105</v>
      </c>
      <c r="AD238" s="42">
        <v>44652</v>
      </c>
      <c r="AE238" s="53" t="s">
        <v>51</v>
      </c>
      <c r="AF238" s="54" t="s">
        <v>35</v>
      </c>
      <c r="AG238" s="54"/>
      <c r="AH238" s="39" t="s">
        <v>52</v>
      </c>
      <c r="AI238" s="39" t="s">
        <v>52</v>
      </c>
    </row>
    <row r="239" spans="1:35" ht="17" x14ac:dyDescent="0.2">
      <c r="A239">
        <v>239</v>
      </c>
      <c r="B239">
        <v>428</v>
      </c>
      <c r="C239" t="s">
        <v>4353</v>
      </c>
      <c r="D239" s="39" t="s">
        <v>2538</v>
      </c>
      <c r="E239" s="39" t="s">
        <v>2539</v>
      </c>
      <c r="F239" s="39" t="s">
        <v>35</v>
      </c>
      <c r="G239" s="39" t="s">
        <v>82</v>
      </c>
      <c r="I239" s="39" t="s">
        <v>2540</v>
      </c>
      <c r="J239" s="39" t="s">
        <v>2541</v>
      </c>
      <c r="K239" t="s">
        <v>2542</v>
      </c>
      <c r="L239" t="s">
        <v>2543</v>
      </c>
      <c r="M239" s="6" t="s">
        <v>5957</v>
      </c>
      <c r="N239" t="s">
        <v>86</v>
      </c>
      <c r="O239" t="s">
        <v>1151</v>
      </c>
      <c r="P239" s="35" t="s">
        <v>640</v>
      </c>
      <c r="Q239" t="s">
        <v>115</v>
      </c>
      <c r="R239" t="s">
        <v>2544</v>
      </c>
      <c r="S239" s="6" t="s">
        <v>6187</v>
      </c>
      <c r="T239" s="43" t="s">
        <v>48</v>
      </c>
      <c r="U239" s="43" t="s">
        <v>254</v>
      </c>
      <c r="V239" t="s">
        <v>749</v>
      </c>
      <c r="W239" s="57"/>
      <c r="X239" s="57"/>
      <c r="Y239" t="s">
        <v>640</v>
      </c>
      <c r="Z239" s="39"/>
      <c r="AA239" s="39"/>
      <c r="AB239" t="s">
        <v>44</v>
      </c>
      <c r="AC239" s="42">
        <v>37797</v>
      </c>
      <c r="AD239" s="42">
        <v>38475</v>
      </c>
      <c r="AE239" s="53" t="s">
        <v>51</v>
      </c>
      <c r="AF239" s="54" t="s">
        <v>35</v>
      </c>
      <c r="AG239" s="54"/>
      <c r="AH239" s="39" t="s">
        <v>52</v>
      </c>
      <c r="AI239" s="39" t="s">
        <v>52</v>
      </c>
    </row>
    <row r="240" spans="1:35" ht="17" x14ac:dyDescent="0.2">
      <c r="A240">
        <v>292</v>
      </c>
      <c r="B240">
        <v>94</v>
      </c>
      <c r="C240" t="s">
        <v>4358</v>
      </c>
      <c r="D240" s="39" t="s">
        <v>733</v>
      </c>
      <c r="E240" s="39" t="s">
        <v>734</v>
      </c>
      <c r="F240" s="39" t="s">
        <v>35</v>
      </c>
      <c r="G240" s="39" t="s">
        <v>55</v>
      </c>
      <c r="I240" s="39" t="s">
        <v>735</v>
      </c>
      <c r="J240" s="39" t="s">
        <v>736</v>
      </c>
      <c r="K240" t="s">
        <v>737</v>
      </c>
      <c r="L240" s="49" t="s">
        <v>738</v>
      </c>
      <c r="M240" s="6" t="s">
        <v>4337</v>
      </c>
      <c r="N240" t="s">
        <v>86</v>
      </c>
      <c r="O240" t="s">
        <v>739</v>
      </c>
      <c r="P240" s="35"/>
      <c r="Q240" t="s">
        <v>76</v>
      </c>
      <c r="R240" t="s">
        <v>740</v>
      </c>
      <c r="S240" s="6" t="s">
        <v>3501</v>
      </c>
      <c r="T240" s="43" t="s">
        <v>409</v>
      </c>
      <c r="U240" s="43" t="s">
        <v>741</v>
      </c>
      <c r="V240" t="s">
        <v>739</v>
      </c>
      <c r="W240" s="57"/>
      <c r="X240" s="57"/>
      <c r="Y240" t="s">
        <v>742</v>
      </c>
      <c r="Z240" s="39"/>
      <c r="AA240" s="39"/>
      <c r="AB240" t="s">
        <v>76</v>
      </c>
      <c r="AC240" s="42">
        <v>39098</v>
      </c>
      <c r="AD240" s="42">
        <v>40065</v>
      </c>
      <c r="AE240" s="53" t="s">
        <v>453</v>
      </c>
      <c r="AF240" s="54" t="s">
        <v>35</v>
      </c>
      <c r="AG240" s="54"/>
      <c r="AH240" s="39" t="s">
        <v>70</v>
      </c>
      <c r="AI240" s="39" t="s">
        <v>52</v>
      </c>
    </row>
    <row r="241" spans="1:35" ht="17" x14ac:dyDescent="0.2">
      <c r="A241">
        <v>232</v>
      </c>
      <c r="B241">
        <v>159</v>
      </c>
      <c r="C241" t="s">
        <v>4364</v>
      </c>
      <c r="D241" s="39" t="s">
        <v>1152</v>
      </c>
      <c r="E241" s="39" t="s">
        <v>734</v>
      </c>
      <c r="F241" s="39" t="s">
        <v>35</v>
      </c>
      <c r="G241" s="39" t="s">
        <v>35</v>
      </c>
      <c r="I241" s="39" t="s">
        <v>35</v>
      </c>
      <c r="J241" s="39" t="s">
        <v>35</v>
      </c>
      <c r="L241" s="49"/>
      <c r="M241" s="6" t="s">
        <v>35</v>
      </c>
      <c r="P241" s="35"/>
      <c r="Q241" t="s">
        <v>35</v>
      </c>
      <c r="S241" s="6" t="s">
        <v>35</v>
      </c>
      <c r="T241" s="43" t="s">
        <v>35</v>
      </c>
      <c r="U241" s="43" t="s">
        <v>35</v>
      </c>
      <c r="W241" s="57"/>
      <c r="X241" s="57"/>
      <c r="Z241" s="39"/>
      <c r="AA241" s="39"/>
      <c r="AB241" t="s">
        <v>35</v>
      </c>
      <c r="AC241" s="42">
        <v>2003</v>
      </c>
      <c r="AD241" s="43"/>
      <c r="AE241" s="53" t="s">
        <v>157</v>
      </c>
      <c r="AF241" s="54" t="s">
        <v>35</v>
      </c>
      <c r="AG241" s="54"/>
      <c r="AH241" s="39" t="s">
        <v>70</v>
      </c>
      <c r="AI241" s="39" t="s">
        <v>52</v>
      </c>
    </row>
    <row r="242" spans="1:35" ht="17" x14ac:dyDescent="0.2">
      <c r="B242">
        <v>218</v>
      </c>
      <c r="C242" t="s">
        <v>4365</v>
      </c>
      <c r="D242" s="39" t="s">
        <v>1471</v>
      </c>
      <c r="E242" s="39" t="s">
        <v>734</v>
      </c>
      <c r="F242" s="39" t="s">
        <v>35</v>
      </c>
      <c r="G242" s="39" t="s">
        <v>160</v>
      </c>
      <c r="H242" s="34"/>
      <c r="I242" s="39" t="s">
        <v>1472</v>
      </c>
      <c r="J242" s="39" t="s">
        <v>35</v>
      </c>
      <c r="K242" t="s">
        <v>1473</v>
      </c>
      <c r="L242" t="s">
        <v>1474</v>
      </c>
      <c r="M242" s="6" t="s">
        <v>5958</v>
      </c>
      <c r="N242" s="37" t="s">
        <v>59</v>
      </c>
      <c r="O242" t="s">
        <v>49</v>
      </c>
      <c r="P242" s="35" t="s">
        <v>50</v>
      </c>
      <c r="Q242" t="s">
        <v>35</v>
      </c>
      <c r="R242" t="s">
        <v>1475</v>
      </c>
      <c r="S242" s="6" t="s">
        <v>4259</v>
      </c>
      <c r="T242" s="43" t="s">
        <v>789</v>
      </c>
      <c r="U242" s="43" t="s">
        <v>66</v>
      </c>
      <c r="V242" t="s">
        <v>1476</v>
      </c>
      <c r="W242" s="57"/>
      <c r="X242" s="57"/>
      <c r="Y242" t="s">
        <v>50</v>
      </c>
      <c r="Z242" s="39"/>
      <c r="AA242" s="39"/>
      <c r="AB242" t="s">
        <v>200</v>
      </c>
      <c r="AC242" s="42">
        <v>42005</v>
      </c>
      <c r="AD242" s="42">
        <v>43617</v>
      </c>
      <c r="AE242" s="53" t="s">
        <v>1477</v>
      </c>
      <c r="AF242" s="54" t="s">
        <v>35</v>
      </c>
      <c r="AG242" s="54"/>
      <c r="AH242" s="39" t="s">
        <v>52</v>
      </c>
      <c r="AI242" s="39" t="s">
        <v>70</v>
      </c>
    </row>
    <row r="243" spans="1:35" ht="17" x14ac:dyDescent="0.2">
      <c r="A243">
        <v>406</v>
      </c>
      <c r="B243">
        <v>458</v>
      </c>
      <c r="C243" t="s">
        <v>4369</v>
      </c>
      <c r="D243" s="39" t="s">
        <v>2662</v>
      </c>
      <c r="E243" s="39" t="s">
        <v>734</v>
      </c>
      <c r="F243" s="39" t="s">
        <v>35</v>
      </c>
      <c r="G243" s="39" t="s">
        <v>36</v>
      </c>
      <c r="I243" s="39" t="s">
        <v>2663</v>
      </c>
      <c r="J243" s="39" t="s">
        <v>35</v>
      </c>
      <c r="K243" t="s">
        <v>2664</v>
      </c>
      <c r="L243" t="s">
        <v>2665</v>
      </c>
      <c r="M243" s="6" t="s">
        <v>3589</v>
      </c>
      <c r="N243" t="s">
        <v>41</v>
      </c>
      <c r="O243" t="s">
        <v>49</v>
      </c>
      <c r="P243" s="35" t="s">
        <v>50</v>
      </c>
      <c r="Q243" t="s">
        <v>44</v>
      </c>
      <c r="R243" t="s">
        <v>2666</v>
      </c>
      <c r="S243" s="6" t="s">
        <v>3704</v>
      </c>
      <c r="T243" s="43" t="s">
        <v>528</v>
      </c>
      <c r="U243" s="43" t="s">
        <v>165</v>
      </c>
      <c r="V243" t="s">
        <v>49</v>
      </c>
      <c r="W243" s="57"/>
      <c r="X243" s="57"/>
      <c r="Y243" t="s">
        <v>50</v>
      </c>
      <c r="Z243" s="39"/>
      <c r="AA243" s="39"/>
      <c r="AB243" t="s">
        <v>132</v>
      </c>
      <c r="AC243" s="42">
        <v>42380</v>
      </c>
      <c r="AD243" s="42">
        <v>42506</v>
      </c>
      <c r="AE243" s="53" t="s">
        <v>51</v>
      </c>
      <c r="AF243" s="54" t="s">
        <v>35</v>
      </c>
      <c r="AG243" s="54"/>
      <c r="AH243" s="39" t="s">
        <v>52</v>
      </c>
      <c r="AI243" s="39" t="s">
        <v>52</v>
      </c>
    </row>
    <row r="244" spans="1:35" ht="34" x14ac:dyDescent="0.2">
      <c r="A244">
        <v>517</v>
      </c>
      <c r="B244">
        <v>520</v>
      </c>
      <c r="C244" t="s">
        <v>4376</v>
      </c>
      <c r="D244" s="39" t="s">
        <v>2955</v>
      </c>
      <c r="E244" s="39" t="s">
        <v>734</v>
      </c>
      <c r="F244" s="39" t="s">
        <v>35</v>
      </c>
      <c r="G244" s="39" t="s">
        <v>36</v>
      </c>
      <c r="H244" s="34"/>
      <c r="I244" s="39" t="s">
        <v>35</v>
      </c>
      <c r="J244" s="39" t="s">
        <v>35</v>
      </c>
      <c r="K244" t="s">
        <v>2956</v>
      </c>
      <c r="L244" t="s">
        <v>2957</v>
      </c>
      <c r="M244" s="6" t="s">
        <v>5959</v>
      </c>
      <c r="N244" t="s">
        <v>59</v>
      </c>
      <c r="O244" t="s">
        <v>49</v>
      </c>
      <c r="P244" s="35" t="s">
        <v>50</v>
      </c>
      <c r="Q244" t="s">
        <v>1627</v>
      </c>
      <c r="R244" t="s">
        <v>2958</v>
      </c>
      <c r="S244" s="6" t="s">
        <v>6188</v>
      </c>
      <c r="T244" s="43" t="s">
        <v>2215</v>
      </c>
      <c r="U244" s="43" t="s">
        <v>1456</v>
      </c>
      <c r="V244" t="s">
        <v>1368</v>
      </c>
      <c r="W244" s="57"/>
      <c r="X244" s="57"/>
      <c r="Y244" t="s">
        <v>2959</v>
      </c>
      <c r="Z244" s="39"/>
      <c r="AA244" s="39"/>
      <c r="AB244" t="s">
        <v>1627</v>
      </c>
      <c r="AC244" s="42">
        <v>43770</v>
      </c>
      <c r="AD244" s="42">
        <v>44075</v>
      </c>
      <c r="AE244" s="53" t="s">
        <v>51</v>
      </c>
      <c r="AF244" s="54" t="s">
        <v>35</v>
      </c>
      <c r="AG244" s="54"/>
      <c r="AH244" s="39" t="s">
        <v>52</v>
      </c>
      <c r="AI244" s="39" t="s">
        <v>52</v>
      </c>
    </row>
    <row r="245" spans="1:35" ht="17" x14ac:dyDescent="0.2">
      <c r="A245">
        <v>203</v>
      </c>
      <c r="B245">
        <v>531</v>
      </c>
      <c r="C245" t="s">
        <v>4377</v>
      </c>
      <c r="D245" s="39" t="s">
        <v>3008</v>
      </c>
      <c r="E245" s="39" t="s">
        <v>734</v>
      </c>
      <c r="F245" s="39" t="s">
        <v>35</v>
      </c>
      <c r="G245" s="39" t="s">
        <v>82</v>
      </c>
      <c r="I245" s="39" t="s">
        <v>3015</v>
      </c>
      <c r="J245" s="39" t="s">
        <v>35</v>
      </c>
      <c r="K245" t="s">
        <v>3016</v>
      </c>
      <c r="L245" t="s">
        <v>3017</v>
      </c>
      <c r="M245" s="6" t="s">
        <v>35</v>
      </c>
      <c r="N245" s="36" t="s">
        <v>86</v>
      </c>
      <c r="O245" t="s">
        <v>49</v>
      </c>
      <c r="P245" s="35" t="s">
        <v>50</v>
      </c>
      <c r="Q245" t="s">
        <v>44</v>
      </c>
      <c r="R245" t="s">
        <v>3018</v>
      </c>
      <c r="S245" s="6" t="s">
        <v>35</v>
      </c>
      <c r="T245" s="43" t="s">
        <v>47</v>
      </c>
      <c r="U245" s="43" t="s">
        <v>213</v>
      </c>
      <c r="V245" t="s">
        <v>49</v>
      </c>
      <c r="W245" s="57"/>
      <c r="X245" s="57"/>
      <c r="Y245" t="s">
        <v>50</v>
      </c>
      <c r="Z245" s="39"/>
      <c r="AA245" s="39"/>
      <c r="AB245" t="s">
        <v>180</v>
      </c>
      <c r="AC245" s="42">
        <v>37288</v>
      </c>
      <c r="AD245" s="42">
        <v>38018</v>
      </c>
      <c r="AE245" s="53" t="s">
        <v>453</v>
      </c>
      <c r="AF245" s="54" t="s">
        <v>239</v>
      </c>
      <c r="AG245" s="54"/>
      <c r="AH245" s="39" t="s">
        <v>70</v>
      </c>
      <c r="AI245" s="39" t="s">
        <v>52</v>
      </c>
    </row>
    <row r="246" spans="1:35" ht="17" x14ac:dyDescent="0.2">
      <c r="A246">
        <v>423</v>
      </c>
      <c r="B246">
        <v>19</v>
      </c>
      <c r="C246" t="s">
        <v>4383</v>
      </c>
      <c r="D246" s="39" t="s">
        <v>225</v>
      </c>
      <c r="E246" s="39" t="s">
        <v>226</v>
      </c>
      <c r="F246" s="39" t="s">
        <v>35</v>
      </c>
      <c r="G246" s="39" t="s">
        <v>160</v>
      </c>
      <c r="I246" s="39" t="s">
        <v>227</v>
      </c>
      <c r="J246" s="39" t="s">
        <v>35</v>
      </c>
      <c r="K246" t="s">
        <v>228</v>
      </c>
      <c r="L246" t="s">
        <v>229</v>
      </c>
      <c r="M246" s="6" t="s">
        <v>5960</v>
      </c>
      <c r="N246" t="s">
        <v>59</v>
      </c>
      <c r="O246" t="s">
        <v>49</v>
      </c>
      <c r="P246" s="35" t="s">
        <v>50</v>
      </c>
      <c r="Q246" t="s">
        <v>44</v>
      </c>
      <c r="R246" t="s">
        <v>230</v>
      </c>
      <c r="S246" s="6" t="s">
        <v>6189</v>
      </c>
      <c r="T246" s="43" t="s">
        <v>231</v>
      </c>
      <c r="U246" s="43" t="s">
        <v>232</v>
      </c>
      <c r="V246" t="s">
        <v>49</v>
      </c>
      <c r="W246" s="57"/>
      <c r="X246" s="57"/>
      <c r="Y246" t="s">
        <v>50</v>
      </c>
      <c r="Z246" s="39"/>
      <c r="AA246" s="39"/>
      <c r="AB246" t="s">
        <v>44</v>
      </c>
      <c r="AC246" s="42">
        <v>42751</v>
      </c>
      <c r="AD246" s="42">
        <v>43154</v>
      </c>
      <c r="AE246" s="53" t="s">
        <v>51</v>
      </c>
      <c r="AF246" s="54" t="s">
        <v>35</v>
      </c>
      <c r="AG246" s="54"/>
      <c r="AH246" s="39" t="s">
        <v>52</v>
      </c>
      <c r="AI246" s="39" t="s">
        <v>52</v>
      </c>
    </row>
    <row r="247" spans="1:35" ht="17" x14ac:dyDescent="0.2">
      <c r="A247">
        <v>122</v>
      </c>
      <c r="B247">
        <v>49</v>
      </c>
      <c r="C247" t="s">
        <v>4384</v>
      </c>
      <c r="D247" s="39" t="s">
        <v>447</v>
      </c>
      <c r="E247" s="39" t="s">
        <v>226</v>
      </c>
      <c r="F247" s="39" t="s">
        <v>35</v>
      </c>
      <c r="G247" s="39" t="s">
        <v>205</v>
      </c>
      <c r="I247" s="39" t="s">
        <v>448</v>
      </c>
      <c r="J247" s="39" t="s">
        <v>35</v>
      </c>
      <c r="K247" t="s">
        <v>449</v>
      </c>
      <c r="L247" t="s">
        <v>450</v>
      </c>
      <c r="M247" s="6" t="s">
        <v>559</v>
      </c>
      <c r="N247" t="s">
        <v>59</v>
      </c>
      <c r="O247" t="s">
        <v>49</v>
      </c>
      <c r="P247" s="35" t="s">
        <v>50</v>
      </c>
      <c r="Q247" t="s">
        <v>87</v>
      </c>
      <c r="R247" t="s">
        <v>450</v>
      </c>
      <c r="S247" s="6" t="s">
        <v>5947</v>
      </c>
      <c r="T247" s="43" t="s">
        <v>89</v>
      </c>
      <c r="U247" s="43" t="s">
        <v>451</v>
      </c>
      <c r="V247" t="s">
        <v>49</v>
      </c>
      <c r="W247" s="57"/>
      <c r="X247" s="57"/>
      <c r="Y247" t="s">
        <v>50</v>
      </c>
      <c r="Z247" s="39"/>
      <c r="AA247" s="39"/>
      <c r="AB247" t="s">
        <v>87</v>
      </c>
      <c r="AC247" s="42">
        <v>35831</v>
      </c>
      <c r="AD247" s="42">
        <v>37298</v>
      </c>
      <c r="AE247" s="53" t="s">
        <v>453</v>
      </c>
      <c r="AF247" s="54" t="s">
        <v>35</v>
      </c>
      <c r="AG247" s="54"/>
      <c r="AH247" s="39" t="s">
        <v>70</v>
      </c>
      <c r="AI247" s="39" t="s">
        <v>52</v>
      </c>
    </row>
    <row r="248" spans="1:35" ht="17" x14ac:dyDescent="0.2">
      <c r="A248">
        <v>241</v>
      </c>
      <c r="B248">
        <v>55</v>
      </c>
      <c r="C248" t="s">
        <v>4388</v>
      </c>
      <c r="D248" s="39" t="s">
        <v>484</v>
      </c>
      <c r="E248" s="39" t="s">
        <v>226</v>
      </c>
      <c r="F248" s="39" t="s">
        <v>35</v>
      </c>
      <c r="G248" s="39" t="s">
        <v>82</v>
      </c>
      <c r="I248" s="39" t="s">
        <v>485</v>
      </c>
      <c r="J248" s="39" t="s">
        <v>486</v>
      </c>
      <c r="K248" t="s">
        <v>487</v>
      </c>
      <c r="L248" s="49" t="s">
        <v>488</v>
      </c>
      <c r="M248" s="6" t="s">
        <v>5961</v>
      </c>
      <c r="N248" t="s">
        <v>86</v>
      </c>
      <c r="O248" t="s">
        <v>49</v>
      </c>
      <c r="P248" s="35" t="s">
        <v>50</v>
      </c>
      <c r="Q248" t="s">
        <v>44</v>
      </c>
      <c r="R248" t="s">
        <v>163</v>
      </c>
      <c r="S248" s="6" t="s">
        <v>6190</v>
      </c>
      <c r="T248" s="43" t="s">
        <v>489</v>
      </c>
      <c r="U248" s="43" t="s">
        <v>145</v>
      </c>
      <c r="V248" t="s">
        <v>49</v>
      </c>
      <c r="W248" s="57"/>
      <c r="X248" s="57"/>
      <c r="Y248" t="s">
        <v>50</v>
      </c>
      <c r="Z248" s="39"/>
      <c r="AA248" s="39"/>
      <c r="AB248" t="s">
        <v>62</v>
      </c>
      <c r="AC248" s="42">
        <v>38007</v>
      </c>
      <c r="AD248" s="42">
        <v>39083</v>
      </c>
      <c r="AE248" s="53" t="s">
        <v>69</v>
      </c>
      <c r="AF248" s="54" t="s">
        <v>35</v>
      </c>
      <c r="AG248" s="54"/>
      <c r="AH248" s="39" t="s">
        <v>70</v>
      </c>
      <c r="AI248" s="39" t="s">
        <v>52</v>
      </c>
    </row>
    <row r="249" spans="1:35" ht="17" x14ac:dyDescent="0.2">
      <c r="A249">
        <v>182</v>
      </c>
      <c r="B249">
        <v>60</v>
      </c>
      <c r="C249" t="s">
        <v>4393</v>
      </c>
      <c r="D249" s="39" t="s">
        <v>517</v>
      </c>
      <c r="E249" s="39" t="s">
        <v>226</v>
      </c>
      <c r="F249" s="39" t="s">
        <v>35</v>
      </c>
      <c r="G249" s="39" t="s">
        <v>82</v>
      </c>
      <c r="I249" s="39" t="s">
        <v>518</v>
      </c>
      <c r="J249" s="39" t="s">
        <v>519</v>
      </c>
      <c r="K249" t="s">
        <v>520</v>
      </c>
      <c r="L249" s="49" t="s">
        <v>521</v>
      </c>
      <c r="M249" s="6" t="s">
        <v>5962</v>
      </c>
      <c r="N249" t="s">
        <v>86</v>
      </c>
      <c r="O249" t="s">
        <v>49</v>
      </c>
      <c r="P249" s="35" t="s">
        <v>50</v>
      </c>
      <c r="Q249" t="s">
        <v>44</v>
      </c>
      <c r="R249" t="s">
        <v>522</v>
      </c>
      <c r="S249" s="6" t="s">
        <v>6191</v>
      </c>
      <c r="T249" s="43" t="s">
        <v>164</v>
      </c>
      <c r="U249" s="43" t="s">
        <v>48</v>
      </c>
      <c r="V249" t="s">
        <v>523</v>
      </c>
      <c r="W249" s="57"/>
      <c r="X249" s="57"/>
      <c r="Y249" t="s">
        <v>50</v>
      </c>
      <c r="Z249" s="39"/>
      <c r="AA249" s="39"/>
      <c r="AB249" t="s">
        <v>44</v>
      </c>
      <c r="AC249" s="42">
        <v>37013</v>
      </c>
      <c r="AD249" s="42">
        <v>38007</v>
      </c>
      <c r="AE249" s="53" t="s">
        <v>453</v>
      </c>
      <c r="AF249" s="54" t="s">
        <v>35</v>
      </c>
      <c r="AG249" s="54"/>
      <c r="AH249" s="39" t="s">
        <v>70</v>
      </c>
      <c r="AI249" s="39" t="s">
        <v>52</v>
      </c>
    </row>
    <row r="250" spans="1:35" ht="17" x14ac:dyDescent="0.2">
      <c r="A250" t="s">
        <v>35</v>
      </c>
      <c r="B250">
        <v>77</v>
      </c>
      <c r="C250" t="s">
        <v>5771</v>
      </c>
      <c r="D250" s="39" t="s">
        <v>634</v>
      </c>
      <c r="E250" s="39" t="s">
        <v>226</v>
      </c>
      <c r="F250" s="39" t="s">
        <v>635</v>
      </c>
      <c r="G250" s="39" t="s">
        <v>259</v>
      </c>
      <c r="I250" s="39" t="s">
        <v>636</v>
      </c>
      <c r="J250" s="39" t="s">
        <v>35</v>
      </c>
      <c r="K250" t="s">
        <v>637</v>
      </c>
      <c r="L250" s="49" t="s">
        <v>77</v>
      </c>
      <c r="M250" s="6" t="s">
        <v>4838</v>
      </c>
      <c r="N250" t="s">
        <v>131</v>
      </c>
      <c r="O250" t="s">
        <v>60</v>
      </c>
      <c r="P250" s="35" t="s">
        <v>61</v>
      </c>
      <c r="Q250" t="s">
        <v>44</v>
      </c>
      <c r="R250" t="s">
        <v>638</v>
      </c>
      <c r="S250" s="6" t="s">
        <v>3833</v>
      </c>
      <c r="T250" s="43" t="s">
        <v>213</v>
      </c>
      <c r="U250" s="43" t="s">
        <v>213</v>
      </c>
      <c r="V250" t="s">
        <v>639</v>
      </c>
      <c r="W250" s="57"/>
      <c r="X250" s="57"/>
      <c r="Y250" t="s">
        <v>640</v>
      </c>
      <c r="Z250" s="39"/>
      <c r="AA250" s="39"/>
      <c r="AB250" t="s">
        <v>44</v>
      </c>
      <c r="AC250" s="42">
        <v>44562</v>
      </c>
      <c r="AD250" s="42">
        <v>45300</v>
      </c>
      <c r="AE250" s="53"/>
      <c r="AF250" s="54" t="s">
        <v>35</v>
      </c>
      <c r="AG250" s="54"/>
      <c r="AH250" s="39" t="s">
        <v>52</v>
      </c>
      <c r="AI250" s="39" t="s">
        <v>52</v>
      </c>
    </row>
    <row r="251" spans="1:35" ht="17" x14ac:dyDescent="0.2">
      <c r="A251">
        <v>383</v>
      </c>
      <c r="B251">
        <v>169</v>
      </c>
      <c r="C251" t="s">
        <v>4398</v>
      </c>
      <c r="D251" s="39" t="s">
        <v>1197</v>
      </c>
      <c r="E251" s="39" t="s">
        <v>226</v>
      </c>
      <c r="F251" s="39" t="s">
        <v>35</v>
      </c>
      <c r="G251" s="39" t="s">
        <v>160</v>
      </c>
      <c r="I251" s="39" t="s">
        <v>1205</v>
      </c>
      <c r="J251" s="39" t="s">
        <v>1206</v>
      </c>
      <c r="K251" t="s">
        <v>1207</v>
      </c>
      <c r="L251" s="49" t="s">
        <v>631</v>
      </c>
      <c r="M251" s="6" t="s">
        <v>5963</v>
      </c>
      <c r="N251" t="s">
        <v>59</v>
      </c>
      <c r="O251" t="s">
        <v>49</v>
      </c>
      <c r="P251" s="35" t="s">
        <v>50</v>
      </c>
      <c r="Q251" t="s">
        <v>62</v>
      </c>
      <c r="R251" t="s">
        <v>424</v>
      </c>
      <c r="S251" s="6" t="s">
        <v>6192</v>
      </c>
      <c r="T251" s="43" t="s">
        <v>308</v>
      </c>
      <c r="U251" s="43" t="s">
        <v>255</v>
      </c>
      <c r="V251" t="s">
        <v>49</v>
      </c>
      <c r="W251" s="57"/>
      <c r="X251" s="57"/>
      <c r="Y251" t="s">
        <v>50</v>
      </c>
      <c r="Z251" s="39"/>
      <c r="AA251" s="39"/>
      <c r="AB251" t="s">
        <v>100</v>
      </c>
      <c r="AC251" s="42">
        <v>41697</v>
      </c>
      <c r="AD251" s="42">
        <v>41975</v>
      </c>
      <c r="AE251" s="53" t="s">
        <v>955</v>
      </c>
      <c r="AF251" s="54" t="s">
        <v>35</v>
      </c>
      <c r="AG251" s="54"/>
      <c r="AH251" s="39" t="s">
        <v>52</v>
      </c>
      <c r="AI251" s="39" t="s">
        <v>70</v>
      </c>
    </row>
    <row r="252" spans="1:35" ht="17" x14ac:dyDescent="0.2">
      <c r="A252">
        <v>226</v>
      </c>
      <c r="B252">
        <v>216</v>
      </c>
      <c r="C252" t="s">
        <v>4400</v>
      </c>
      <c r="D252" s="39" t="s">
        <v>1463</v>
      </c>
      <c r="E252" s="39" t="s">
        <v>226</v>
      </c>
      <c r="F252" s="39" t="s">
        <v>35</v>
      </c>
      <c r="G252" s="39" t="s">
        <v>82</v>
      </c>
      <c r="I252" s="39" t="s">
        <v>1464</v>
      </c>
      <c r="J252" s="39" t="s">
        <v>35</v>
      </c>
      <c r="K252" t="s">
        <v>1465</v>
      </c>
      <c r="L252" t="s">
        <v>39</v>
      </c>
      <c r="M252" s="6" t="s">
        <v>5964</v>
      </c>
      <c r="N252" t="s">
        <v>41</v>
      </c>
      <c r="O252" t="s">
        <v>42</v>
      </c>
      <c r="P252" s="35" t="s">
        <v>43</v>
      </c>
      <c r="Q252" t="s">
        <v>44</v>
      </c>
      <c r="R252" t="s">
        <v>163</v>
      </c>
      <c r="S252" s="6" t="s">
        <v>3493</v>
      </c>
      <c r="T252" s="43" t="s">
        <v>1466</v>
      </c>
      <c r="U252" s="43" t="s">
        <v>238</v>
      </c>
      <c r="V252" t="s">
        <v>49</v>
      </c>
      <c r="W252" s="57"/>
      <c r="X252" s="57"/>
      <c r="Y252" t="s">
        <v>50</v>
      </c>
      <c r="Z252" s="39"/>
      <c r="AA252" s="39"/>
      <c r="AB252" t="s">
        <v>62</v>
      </c>
      <c r="AC252" s="42">
        <v>37797</v>
      </c>
      <c r="AD252" s="42">
        <v>38007</v>
      </c>
      <c r="AE252" s="53" t="s">
        <v>51</v>
      </c>
      <c r="AF252" s="54" t="s">
        <v>35</v>
      </c>
      <c r="AG252" s="54"/>
      <c r="AH252" s="39" t="s">
        <v>52</v>
      </c>
      <c r="AI252" s="39" t="s">
        <v>52</v>
      </c>
    </row>
    <row r="253" spans="1:35" ht="17" x14ac:dyDescent="0.2">
      <c r="A253">
        <v>282</v>
      </c>
      <c r="B253">
        <v>222</v>
      </c>
      <c r="C253" t="s">
        <v>4404</v>
      </c>
      <c r="D253" s="39" t="s">
        <v>1500</v>
      </c>
      <c r="E253" s="39" t="s">
        <v>226</v>
      </c>
      <c r="F253" s="39" t="s">
        <v>35</v>
      </c>
      <c r="G253" s="39" t="s">
        <v>55</v>
      </c>
      <c r="I253" s="39" t="s">
        <v>1501</v>
      </c>
      <c r="J253" s="39" t="s">
        <v>1502</v>
      </c>
      <c r="K253" t="s">
        <v>1503</v>
      </c>
      <c r="L253" t="s">
        <v>197</v>
      </c>
      <c r="M253" s="6" t="s">
        <v>5965</v>
      </c>
      <c r="N253" t="s">
        <v>59</v>
      </c>
      <c r="O253" t="s">
        <v>198</v>
      </c>
      <c r="P253" s="35" t="s">
        <v>199</v>
      </c>
      <c r="Q253" t="s">
        <v>200</v>
      </c>
      <c r="R253" t="s">
        <v>1504</v>
      </c>
      <c r="S253" s="6" t="s">
        <v>4397</v>
      </c>
      <c r="T253" s="43" t="s">
        <v>308</v>
      </c>
      <c r="U253" s="43" t="s">
        <v>164</v>
      </c>
      <c r="V253" t="s">
        <v>49</v>
      </c>
      <c r="W253" s="57"/>
      <c r="X253" s="57"/>
      <c r="Y253" t="s">
        <v>50</v>
      </c>
      <c r="Z253" s="39"/>
      <c r="AA253" s="39"/>
      <c r="AB253" t="s">
        <v>115</v>
      </c>
      <c r="AC253" s="42">
        <v>38860</v>
      </c>
      <c r="AD253" s="42">
        <v>40197</v>
      </c>
      <c r="AE253" s="53" t="s">
        <v>239</v>
      </c>
      <c r="AF253" s="54" t="s">
        <v>1505</v>
      </c>
      <c r="AG253" s="54"/>
      <c r="AH253" s="39" t="s">
        <v>70</v>
      </c>
      <c r="AI253" s="39" t="s">
        <v>52</v>
      </c>
    </row>
    <row r="254" spans="1:35" ht="34" x14ac:dyDescent="0.2">
      <c r="A254">
        <v>114</v>
      </c>
      <c r="B254">
        <v>234</v>
      </c>
      <c r="C254" t="s">
        <v>4408</v>
      </c>
      <c r="D254" s="39" t="s">
        <v>1569</v>
      </c>
      <c r="E254" s="39" t="s">
        <v>226</v>
      </c>
      <c r="F254" s="39" t="s">
        <v>35</v>
      </c>
      <c r="G254" s="39" t="s">
        <v>205</v>
      </c>
      <c r="H254" s="34"/>
      <c r="I254" s="39" t="s">
        <v>1570</v>
      </c>
      <c r="J254" s="39" t="s">
        <v>35</v>
      </c>
      <c r="K254" t="s">
        <v>1571</v>
      </c>
      <c r="L254" t="s">
        <v>802</v>
      </c>
      <c r="M254" s="6" t="s">
        <v>4392</v>
      </c>
      <c r="N254" s="36" t="s">
        <v>86</v>
      </c>
      <c r="O254" t="s">
        <v>49</v>
      </c>
      <c r="P254" s="35" t="s">
        <v>50</v>
      </c>
      <c r="Q254" t="s">
        <v>62</v>
      </c>
      <c r="R254" t="s">
        <v>803</v>
      </c>
      <c r="S254" s="6" t="s">
        <v>4399</v>
      </c>
      <c r="T254" s="43" t="s">
        <v>1572</v>
      </c>
      <c r="U254" s="43" t="s">
        <v>324</v>
      </c>
      <c r="V254" t="s">
        <v>49</v>
      </c>
      <c r="W254" s="57"/>
      <c r="X254" s="57"/>
      <c r="Y254" t="s">
        <v>50</v>
      </c>
      <c r="Z254" s="39"/>
      <c r="AA254" s="39"/>
      <c r="AB254" t="s">
        <v>200</v>
      </c>
      <c r="AC254" s="42">
        <v>35488</v>
      </c>
      <c r="AD254" s="42">
        <v>37298</v>
      </c>
      <c r="AE254" s="53" t="s">
        <v>453</v>
      </c>
      <c r="AF254" s="54" t="s">
        <v>1573</v>
      </c>
      <c r="AG254" s="54"/>
      <c r="AH254" s="39" t="s">
        <v>70</v>
      </c>
      <c r="AI254" s="39" t="s">
        <v>52</v>
      </c>
    </row>
    <row r="255" spans="1:35" ht="17" x14ac:dyDescent="0.2">
      <c r="A255">
        <v>367</v>
      </c>
      <c r="B255">
        <v>241</v>
      </c>
      <c r="C255" t="s">
        <v>4412</v>
      </c>
      <c r="D255" s="39" t="s">
        <v>1605</v>
      </c>
      <c r="E255" s="39" t="s">
        <v>226</v>
      </c>
      <c r="F255" s="39" t="s">
        <v>35</v>
      </c>
      <c r="G255" s="39" t="s">
        <v>36</v>
      </c>
      <c r="I255" s="39" t="s">
        <v>1606</v>
      </c>
      <c r="J255" s="39" t="s">
        <v>1607</v>
      </c>
      <c r="K255" t="s">
        <v>1608</v>
      </c>
      <c r="L255" t="s">
        <v>1609</v>
      </c>
      <c r="M255" s="6" t="s">
        <v>3833</v>
      </c>
      <c r="N255" t="s">
        <v>59</v>
      </c>
      <c r="O255" t="s">
        <v>49</v>
      </c>
      <c r="P255" s="35" t="s">
        <v>50</v>
      </c>
      <c r="Q255" t="s">
        <v>62</v>
      </c>
      <c r="R255" t="s">
        <v>1610</v>
      </c>
      <c r="S255" s="6" t="s">
        <v>6121</v>
      </c>
      <c r="T255" s="43" t="s">
        <v>134</v>
      </c>
      <c r="U255" s="43" t="s">
        <v>1139</v>
      </c>
      <c r="V255" t="s">
        <v>401</v>
      </c>
      <c r="W255" s="57"/>
      <c r="X255" s="57"/>
      <c r="Y255" t="s">
        <v>50</v>
      </c>
      <c r="Z255" s="39"/>
      <c r="AA255" s="39"/>
      <c r="AB255" t="s">
        <v>100</v>
      </c>
      <c r="AC255" s="42">
        <v>41310</v>
      </c>
      <c r="AD255" s="42">
        <v>42159</v>
      </c>
      <c r="AE255" s="53" t="s">
        <v>116</v>
      </c>
      <c r="AF255" s="54" t="s">
        <v>35</v>
      </c>
      <c r="AG255" s="54"/>
      <c r="AH255" s="39" t="s">
        <v>70</v>
      </c>
      <c r="AI255" s="39" t="s">
        <v>52</v>
      </c>
    </row>
    <row r="256" spans="1:35" ht="17" x14ac:dyDescent="0.2">
      <c r="A256">
        <v>374</v>
      </c>
      <c r="B256">
        <v>260</v>
      </c>
      <c r="C256" t="s">
        <v>4416</v>
      </c>
      <c r="D256" s="39" t="s">
        <v>1706</v>
      </c>
      <c r="E256" s="39" t="s">
        <v>226</v>
      </c>
      <c r="F256" s="39" t="s">
        <v>35</v>
      </c>
      <c r="G256" s="39" t="s">
        <v>160</v>
      </c>
      <c r="I256" s="39" t="s">
        <v>1707</v>
      </c>
      <c r="J256" s="39" t="s">
        <v>35</v>
      </c>
      <c r="K256" t="s">
        <v>1708</v>
      </c>
      <c r="L256" t="s">
        <v>1709</v>
      </c>
      <c r="M256" s="6" t="s">
        <v>2355</v>
      </c>
      <c r="N256" t="s">
        <v>86</v>
      </c>
      <c r="O256" t="s">
        <v>1710</v>
      </c>
      <c r="P256" s="35" t="s">
        <v>50</v>
      </c>
      <c r="Q256" t="s">
        <v>115</v>
      </c>
      <c r="R256" t="s">
        <v>816</v>
      </c>
      <c r="S256" s="6" t="s">
        <v>4403</v>
      </c>
      <c r="T256" s="43" t="s">
        <v>400</v>
      </c>
      <c r="U256" s="43" t="s">
        <v>409</v>
      </c>
      <c r="V256" t="s">
        <v>42</v>
      </c>
      <c r="W256" s="57"/>
      <c r="X256" s="57"/>
      <c r="Y256" t="s">
        <v>43</v>
      </c>
      <c r="Z256" s="39"/>
      <c r="AA256" s="39"/>
      <c r="AB256" t="s">
        <v>44</v>
      </c>
      <c r="AC256" s="42">
        <v>41666</v>
      </c>
      <c r="AD256" s="42">
        <v>42786</v>
      </c>
      <c r="AE256" s="53" t="s">
        <v>453</v>
      </c>
      <c r="AF256" s="54" t="s">
        <v>35</v>
      </c>
      <c r="AG256" s="54"/>
      <c r="AH256" s="39" t="s">
        <v>70</v>
      </c>
      <c r="AI256" s="39" t="s">
        <v>52</v>
      </c>
    </row>
    <row r="257" spans="1:35" ht="17" x14ac:dyDescent="0.2">
      <c r="A257">
        <v>115</v>
      </c>
      <c r="B257">
        <v>263</v>
      </c>
      <c r="C257" t="s">
        <v>4420</v>
      </c>
      <c r="D257" s="39" t="s">
        <v>1721</v>
      </c>
      <c r="E257" s="39" t="s">
        <v>226</v>
      </c>
      <c r="F257" s="39" t="s">
        <v>35</v>
      </c>
      <c r="G257" s="39" t="s">
        <v>205</v>
      </c>
      <c r="I257" s="39" t="s">
        <v>1722</v>
      </c>
      <c r="J257" s="39" t="s">
        <v>35</v>
      </c>
      <c r="K257" t="s">
        <v>1723</v>
      </c>
      <c r="L257" t="s">
        <v>532</v>
      </c>
      <c r="M257" s="6" t="s">
        <v>3784</v>
      </c>
      <c r="N257" t="s">
        <v>86</v>
      </c>
      <c r="O257" t="s">
        <v>49</v>
      </c>
      <c r="P257" s="35" t="s">
        <v>50</v>
      </c>
      <c r="Q257" t="s">
        <v>44</v>
      </c>
      <c r="R257" t="s">
        <v>532</v>
      </c>
      <c r="S257" s="6" t="s">
        <v>6193</v>
      </c>
      <c r="T257" s="43" t="s">
        <v>613</v>
      </c>
      <c r="U257" s="43" t="s">
        <v>625</v>
      </c>
      <c r="V257" t="s">
        <v>49</v>
      </c>
      <c r="W257" s="57"/>
      <c r="X257" s="57"/>
      <c r="Y257" t="s">
        <v>50</v>
      </c>
      <c r="Z257" s="39"/>
      <c r="AA257" s="39"/>
      <c r="AB257" t="s">
        <v>1627</v>
      </c>
      <c r="AC257" s="42">
        <v>35122</v>
      </c>
      <c r="AD257" s="42">
        <v>35674</v>
      </c>
      <c r="AE257" s="53" t="s">
        <v>730</v>
      </c>
      <c r="AF257" s="54" t="s">
        <v>35</v>
      </c>
      <c r="AG257" s="54"/>
      <c r="AH257" s="39" t="s">
        <v>52</v>
      </c>
      <c r="AI257" s="39" t="s">
        <v>70</v>
      </c>
    </row>
    <row r="258" spans="1:35" ht="17" x14ac:dyDescent="0.2">
      <c r="A258">
        <v>531</v>
      </c>
      <c r="B258">
        <v>286</v>
      </c>
      <c r="C258" t="s">
        <v>4424</v>
      </c>
      <c r="D258" s="39" t="s">
        <v>1820</v>
      </c>
      <c r="E258" s="39" t="s">
        <v>226</v>
      </c>
      <c r="F258" s="39" t="s">
        <v>35</v>
      </c>
      <c r="G258" s="39" t="s">
        <v>35</v>
      </c>
      <c r="I258" s="39" t="s">
        <v>1821</v>
      </c>
      <c r="J258" s="39" t="s">
        <v>1822</v>
      </c>
      <c r="K258" t="s">
        <v>1823</v>
      </c>
      <c r="L258" t="s">
        <v>1824</v>
      </c>
      <c r="M258" s="6" t="s">
        <v>3589</v>
      </c>
      <c r="N258" t="s">
        <v>59</v>
      </c>
      <c r="O258" t="s">
        <v>506</v>
      </c>
      <c r="P258" s="35" t="s">
        <v>1825</v>
      </c>
      <c r="Q258" t="s">
        <v>35</v>
      </c>
      <c r="R258" t="s">
        <v>837</v>
      </c>
      <c r="S258" s="6" t="s">
        <v>3706</v>
      </c>
      <c r="T258" s="43" t="s">
        <v>936</v>
      </c>
      <c r="U258" s="43" t="s">
        <v>1456</v>
      </c>
      <c r="V258" t="s">
        <v>839</v>
      </c>
      <c r="W258" s="57"/>
      <c r="X258" s="57"/>
      <c r="Y258" t="s">
        <v>354</v>
      </c>
      <c r="Z258" s="39"/>
      <c r="AA258" s="39"/>
      <c r="AB258" t="s">
        <v>44</v>
      </c>
      <c r="AC258" s="42">
        <v>2020</v>
      </c>
      <c r="AD258" s="42">
        <v>2021</v>
      </c>
      <c r="AE258" s="53" t="s">
        <v>51</v>
      </c>
      <c r="AF258" s="54" t="s">
        <v>35</v>
      </c>
      <c r="AG258" s="54"/>
      <c r="AH258" s="39" t="s">
        <v>52</v>
      </c>
      <c r="AI258" s="39" t="s">
        <v>52</v>
      </c>
    </row>
    <row r="259" spans="1:35" ht="17" x14ac:dyDescent="0.2">
      <c r="A259">
        <v>289</v>
      </c>
      <c r="B259">
        <v>305</v>
      </c>
      <c r="C259" t="s">
        <v>4427</v>
      </c>
      <c r="D259" s="39" t="s">
        <v>1923</v>
      </c>
      <c r="E259" s="39" t="s">
        <v>226</v>
      </c>
      <c r="F259" s="39" t="s">
        <v>35</v>
      </c>
      <c r="G259" s="39" t="s">
        <v>55</v>
      </c>
      <c r="I259" s="39" t="s">
        <v>1924</v>
      </c>
      <c r="J259" s="39" t="s">
        <v>35</v>
      </c>
      <c r="K259" t="s">
        <v>1925</v>
      </c>
      <c r="L259" t="s">
        <v>1926</v>
      </c>
      <c r="M259" s="6" t="s">
        <v>4984</v>
      </c>
      <c r="N259" t="s">
        <v>41</v>
      </c>
      <c r="O259" t="s">
        <v>49</v>
      </c>
      <c r="P259" s="35" t="s">
        <v>50</v>
      </c>
      <c r="Q259" t="s">
        <v>980</v>
      </c>
      <c r="R259" t="s">
        <v>1927</v>
      </c>
      <c r="S259" s="6" t="s">
        <v>602</v>
      </c>
      <c r="T259" s="43" t="s">
        <v>508</v>
      </c>
      <c r="U259" s="43" t="s">
        <v>238</v>
      </c>
      <c r="V259" t="s">
        <v>1928</v>
      </c>
      <c r="W259" s="57"/>
      <c r="X259" s="57"/>
      <c r="Y259" t="s">
        <v>50</v>
      </c>
      <c r="Z259" s="39"/>
      <c r="AA259" s="39"/>
      <c r="AB259" t="s">
        <v>980</v>
      </c>
      <c r="AC259" s="42">
        <v>38896</v>
      </c>
      <c r="AD259" s="42">
        <v>39155</v>
      </c>
      <c r="AE259" s="53" t="s">
        <v>51</v>
      </c>
      <c r="AF259" s="54" t="s">
        <v>35</v>
      </c>
      <c r="AG259" s="54"/>
      <c r="AH259" s="39" t="s">
        <v>52</v>
      </c>
      <c r="AI259" s="39" t="s">
        <v>52</v>
      </c>
    </row>
    <row r="260" spans="1:35" ht="17" x14ac:dyDescent="0.2">
      <c r="A260">
        <v>39</v>
      </c>
      <c r="B260">
        <v>356</v>
      </c>
      <c r="C260" t="s">
        <v>4433</v>
      </c>
      <c r="D260" s="39" t="s">
        <v>2183</v>
      </c>
      <c r="E260" s="39" t="s">
        <v>226</v>
      </c>
      <c r="F260" s="39" t="s">
        <v>35</v>
      </c>
      <c r="G260" s="39" t="s">
        <v>139</v>
      </c>
      <c r="I260" s="39" t="s">
        <v>2184</v>
      </c>
      <c r="J260" s="39" t="s">
        <v>35</v>
      </c>
      <c r="K260" t="s">
        <v>2185</v>
      </c>
      <c r="L260" t="s">
        <v>2186</v>
      </c>
      <c r="M260" s="6" t="s">
        <v>3589</v>
      </c>
      <c r="N260" t="s">
        <v>59</v>
      </c>
      <c r="O260" t="s">
        <v>1560</v>
      </c>
      <c r="P260" s="35"/>
      <c r="Q260" t="s">
        <v>100</v>
      </c>
      <c r="R260" t="s">
        <v>2187</v>
      </c>
      <c r="S260" s="6" t="s">
        <v>79</v>
      </c>
      <c r="T260" s="43" t="s">
        <v>926</v>
      </c>
      <c r="U260" s="43" t="s">
        <v>66</v>
      </c>
      <c r="V260" t="s">
        <v>123</v>
      </c>
      <c r="W260" s="57"/>
      <c r="X260" s="57"/>
      <c r="Y260" t="s">
        <v>99</v>
      </c>
      <c r="Z260" s="39"/>
      <c r="AA260" s="39"/>
      <c r="AB260" t="s">
        <v>100</v>
      </c>
      <c r="AC260" s="42">
        <v>33605</v>
      </c>
      <c r="AD260" s="42">
        <v>34316</v>
      </c>
      <c r="AE260" s="53" t="s">
        <v>453</v>
      </c>
      <c r="AF260" s="54" t="s">
        <v>35</v>
      </c>
      <c r="AG260" s="54"/>
      <c r="AH260" s="39" t="s">
        <v>70</v>
      </c>
      <c r="AI260" s="39" t="s">
        <v>52</v>
      </c>
    </row>
    <row r="261" spans="1:35" ht="34" x14ac:dyDescent="0.2">
      <c r="A261">
        <v>398</v>
      </c>
      <c r="B261">
        <v>414</v>
      </c>
      <c r="C261" t="s">
        <v>4437</v>
      </c>
      <c r="D261" s="39" t="s">
        <v>2467</v>
      </c>
      <c r="E261" s="39" t="s">
        <v>226</v>
      </c>
      <c r="F261" s="39" t="s">
        <v>35</v>
      </c>
      <c r="G261" s="39" t="s">
        <v>160</v>
      </c>
      <c r="I261" s="39" t="s">
        <v>2468</v>
      </c>
      <c r="J261" s="39" t="s">
        <v>35</v>
      </c>
      <c r="K261" t="s">
        <v>2469</v>
      </c>
      <c r="L261" t="s">
        <v>2470</v>
      </c>
      <c r="M261" s="6" t="s">
        <v>5966</v>
      </c>
      <c r="N261" t="s">
        <v>86</v>
      </c>
      <c r="O261" t="s">
        <v>49</v>
      </c>
      <c r="P261" s="35" t="s">
        <v>50</v>
      </c>
      <c r="Q261" t="s">
        <v>132</v>
      </c>
      <c r="R261" t="s">
        <v>2471</v>
      </c>
      <c r="S261" s="6" t="s">
        <v>4423</v>
      </c>
      <c r="T261" s="43" t="s">
        <v>238</v>
      </c>
      <c r="U261" s="43" t="s">
        <v>494</v>
      </c>
      <c r="V261" t="s">
        <v>49</v>
      </c>
      <c r="W261" s="57"/>
      <c r="X261" s="57"/>
      <c r="Y261" t="s">
        <v>50</v>
      </c>
      <c r="Z261" s="39"/>
      <c r="AA261" s="39"/>
      <c r="AB261" t="s">
        <v>132</v>
      </c>
      <c r="AC261" s="42">
        <v>42159</v>
      </c>
      <c r="AD261" s="42">
        <v>42422</v>
      </c>
      <c r="AE261" s="53" t="s">
        <v>559</v>
      </c>
      <c r="AF261" s="54" t="s">
        <v>35</v>
      </c>
      <c r="AG261" s="54"/>
      <c r="AH261" s="39" t="s">
        <v>52</v>
      </c>
      <c r="AI261" s="39" t="s">
        <v>70</v>
      </c>
    </row>
    <row r="262" spans="1:35" ht="17" x14ac:dyDescent="0.2">
      <c r="A262">
        <v>592</v>
      </c>
      <c r="B262">
        <v>452</v>
      </c>
      <c r="C262" t="s">
        <v>5819</v>
      </c>
      <c r="D262" s="39" t="s">
        <v>2634</v>
      </c>
      <c r="E262" s="39" t="s">
        <v>226</v>
      </c>
      <c r="F262" s="39" t="s">
        <v>35</v>
      </c>
      <c r="G262" s="39" t="s">
        <v>259</v>
      </c>
      <c r="I262" s="39" t="s">
        <v>2635</v>
      </c>
      <c r="J262" s="39" t="s">
        <v>35</v>
      </c>
      <c r="K262" t="s">
        <v>2636</v>
      </c>
      <c r="L262" t="s">
        <v>2637</v>
      </c>
      <c r="M262" s="6" t="s">
        <v>5852</v>
      </c>
      <c r="N262" t="s">
        <v>131</v>
      </c>
      <c r="O262" t="s">
        <v>1560</v>
      </c>
      <c r="P262" s="35"/>
      <c r="Q262" t="s">
        <v>44</v>
      </c>
      <c r="R262" t="s">
        <v>1359</v>
      </c>
      <c r="S262" s="6" t="s">
        <v>6194</v>
      </c>
      <c r="T262" s="43" t="s">
        <v>213</v>
      </c>
      <c r="U262" s="43" t="s">
        <v>213</v>
      </c>
      <c r="V262" t="s">
        <v>49</v>
      </c>
      <c r="W262" s="57"/>
      <c r="X262" s="57"/>
      <c r="Y262" t="s">
        <v>50</v>
      </c>
      <c r="Z262" s="39"/>
      <c r="AA262" s="39"/>
      <c r="AB262" t="s">
        <v>132</v>
      </c>
      <c r="AC262" s="42">
        <v>44564</v>
      </c>
      <c r="AD262" s="42">
        <v>45292</v>
      </c>
      <c r="AE262" s="53" t="s">
        <v>51</v>
      </c>
      <c r="AF262" s="54" t="s">
        <v>35</v>
      </c>
      <c r="AG262" s="54"/>
      <c r="AH262" s="39" t="s">
        <v>52</v>
      </c>
      <c r="AI262" s="39" t="s">
        <v>52</v>
      </c>
    </row>
    <row r="263" spans="1:35" ht="15.5" customHeight="1" x14ac:dyDescent="0.2">
      <c r="A263">
        <v>52</v>
      </c>
      <c r="B263">
        <v>490</v>
      </c>
      <c r="C263" t="s">
        <v>4441</v>
      </c>
      <c r="D263" s="39" t="s">
        <v>2810</v>
      </c>
      <c r="E263" s="39" t="s">
        <v>226</v>
      </c>
      <c r="F263" s="39" t="s">
        <v>35</v>
      </c>
      <c r="G263" s="39" t="s">
        <v>139</v>
      </c>
      <c r="I263" s="39" t="s">
        <v>2811</v>
      </c>
      <c r="J263" s="39" t="s">
        <v>35</v>
      </c>
      <c r="K263" t="s">
        <v>2812</v>
      </c>
      <c r="L263" t="s">
        <v>2813</v>
      </c>
      <c r="M263" s="6" t="s">
        <v>5967</v>
      </c>
      <c r="N263" t="s">
        <v>59</v>
      </c>
      <c r="O263" t="s">
        <v>49</v>
      </c>
      <c r="P263" s="35" t="s">
        <v>50</v>
      </c>
      <c r="Q263" t="s">
        <v>35</v>
      </c>
      <c r="R263" t="s">
        <v>1384</v>
      </c>
      <c r="S263" s="6" t="s">
        <v>4430</v>
      </c>
      <c r="T263" s="43" t="s">
        <v>1961</v>
      </c>
      <c r="U263" s="43" t="s">
        <v>289</v>
      </c>
      <c r="V263" t="s">
        <v>49</v>
      </c>
      <c r="W263" s="57"/>
      <c r="X263" s="57"/>
      <c r="Y263" t="s">
        <v>50</v>
      </c>
      <c r="Z263" s="39"/>
      <c r="AA263" s="39"/>
      <c r="AB263" t="s">
        <v>911</v>
      </c>
      <c r="AC263" s="42">
        <v>33240</v>
      </c>
      <c r="AD263" s="42">
        <v>34347</v>
      </c>
      <c r="AE263" s="53" t="s">
        <v>239</v>
      </c>
      <c r="AF263" s="54" t="s">
        <v>35</v>
      </c>
      <c r="AG263" s="54"/>
      <c r="AH263" s="39" t="s">
        <v>70</v>
      </c>
      <c r="AI263" s="39" t="s">
        <v>52</v>
      </c>
    </row>
    <row r="264" spans="1:35" ht="17" x14ac:dyDescent="0.2">
      <c r="A264">
        <v>407</v>
      </c>
      <c r="B264">
        <v>511</v>
      </c>
      <c r="C264" t="s">
        <v>4447</v>
      </c>
      <c r="D264" s="39" t="s">
        <v>2902</v>
      </c>
      <c r="E264" s="39" t="s">
        <v>226</v>
      </c>
      <c r="F264" s="39" t="s">
        <v>379</v>
      </c>
      <c r="G264" s="39" t="s">
        <v>55</v>
      </c>
      <c r="I264" s="39" t="s">
        <v>2912</v>
      </c>
      <c r="J264" s="39" t="s">
        <v>35</v>
      </c>
      <c r="K264" t="s">
        <v>2913</v>
      </c>
      <c r="L264" t="s">
        <v>2914</v>
      </c>
      <c r="M264" s="6" t="s">
        <v>5968</v>
      </c>
      <c r="N264" t="s">
        <v>97</v>
      </c>
      <c r="O264" t="s">
        <v>2915</v>
      </c>
      <c r="P264" s="35" t="s">
        <v>50</v>
      </c>
      <c r="Q264" t="s">
        <v>76</v>
      </c>
      <c r="R264" t="s">
        <v>171</v>
      </c>
      <c r="S264" s="6" t="s">
        <v>4436</v>
      </c>
      <c r="T264" s="43" t="s">
        <v>444</v>
      </c>
      <c r="U264" s="43" t="s">
        <v>826</v>
      </c>
      <c r="V264" t="s">
        <v>49</v>
      </c>
      <c r="W264" s="57"/>
      <c r="X264" s="57"/>
      <c r="Y264" t="s">
        <v>50</v>
      </c>
      <c r="Z264" s="39"/>
      <c r="AA264" s="39"/>
      <c r="AB264" t="s">
        <v>62</v>
      </c>
      <c r="AC264" s="42">
        <v>39083</v>
      </c>
      <c r="AD264" s="42">
        <v>39834</v>
      </c>
      <c r="AE264" s="53" t="s">
        <v>51</v>
      </c>
      <c r="AF264" s="54" t="s">
        <v>35</v>
      </c>
      <c r="AG264" s="54"/>
      <c r="AH264" s="39" t="s">
        <v>52</v>
      </c>
      <c r="AI264" s="39" t="s">
        <v>52</v>
      </c>
    </row>
    <row r="265" spans="1:35" ht="17" x14ac:dyDescent="0.2">
      <c r="A265">
        <v>500</v>
      </c>
      <c r="B265">
        <v>514</v>
      </c>
      <c r="C265" t="s">
        <v>4450</v>
      </c>
      <c r="D265" s="39" t="s">
        <v>2926</v>
      </c>
      <c r="E265" s="39" t="s">
        <v>226</v>
      </c>
      <c r="F265" s="39" t="s">
        <v>35</v>
      </c>
      <c r="G265" s="39" t="s">
        <v>36</v>
      </c>
      <c r="H265" s="34"/>
      <c r="I265" s="39" t="s">
        <v>2927</v>
      </c>
      <c r="J265" s="39" t="s">
        <v>35</v>
      </c>
      <c r="K265" t="s">
        <v>2928</v>
      </c>
      <c r="L265" t="s">
        <v>2929</v>
      </c>
      <c r="M265" s="6" t="s">
        <v>3589</v>
      </c>
      <c r="N265" t="s">
        <v>97</v>
      </c>
      <c r="O265" t="s">
        <v>42</v>
      </c>
      <c r="P265" s="35" t="s">
        <v>43</v>
      </c>
      <c r="Q265" t="s">
        <v>62</v>
      </c>
      <c r="R265" t="s">
        <v>163</v>
      </c>
      <c r="S265" s="6" t="s">
        <v>212</v>
      </c>
      <c r="T265" s="43" t="s">
        <v>154</v>
      </c>
      <c r="U265" s="43" t="s">
        <v>2719</v>
      </c>
      <c r="V265" t="s">
        <v>49</v>
      </c>
      <c r="W265" s="57"/>
      <c r="X265" s="57"/>
      <c r="Y265" t="s">
        <v>50</v>
      </c>
      <c r="Z265" s="39"/>
      <c r="AA265" s="39"/>
      <c r="AB265" t="s">
        <v>62</v>
      </c>
      <c r="AC265" s="42">
        <v>43626</v>
      </c>
      <c r="AD265" s="42">
        <v>44440</v>
      </c>
      <c r="AE265" s="53" t="s">
        <v>51</v>
      </c>
      <c r="AF265" s="54" t="s">
        <v>35</v>
      </c>
      <c r="AG265" s="54"/>
      <c r="AH265" s="39" t="s">
        <v>52</v>
      </c>
      <c r="AI265" s="39" t="s">
        <v>52</v>
      </c>
    </row>
    <row r="266" spans="1:35" ht="17" x14ac:dyDescent="0.2">
      <c r="A266">
        <v>8</v>
      </c>
      <c r="B266">
        <v>517</v>
      </c>
      <c r="C266" t="s">
        <v>4452</v>
      </c>
      <c r="D266" s="39" t="s">
        <v>2940</v>
      </c>
      <c r="E266" s="39" t="s">
        <v>226</v>
      </c>
      <c r="F266" s="39" t="s">
        <v>35</v>
      </c>
      <c r="G266" s="39" t="s">
        <v>139</v>
      </c>
      <c r="H266" s="34"/>
      <c r="I266" s="39" t="s">
        <v>2941</v>
      </c>
      <c r="J266" s="39" t="s">
        <v>35</v>
      </c>
      <c r="K266" t="s">
        <v>2942</v>
      </c>
      <c r="L266" t="s">
        <v>2943</v>
      </c>
      <c r="M266" s="6" t="s">
        <v>5969</v>
      </c>
      <c r="N266" t="s">
        <v>59</v>
      </c>
      <c r="O266" t="s">
        <v>49</v>
      </c>
      <c r="P266" s="35" t="s">
        <v>50</v>
      </c>
      <c r="Q266" t="s">
        <v>100</v>
      </c>
      <c r="R266" t="s">
        <v>2944</v>
      </c>
      <c r="S266" s="6" t="s">
        <v>3556</v>
      </c>
      <c r="T266" s="43" t="s">
        <v>417</v>
      </c>
      <c r="U266" s="43" t="s">
        <v>103</v>
      </c>
      <c r="V266" t="s">
        <v>401</v>
      </c>
      <c r="W266" s="57"/>
      <c r="X266" s="57"/>
      <c r="Y266" t="s">
        <v>50</v>
      </c>
      <c r="Z266" s="39"/>
      <c r="AA266" s="39"/>
      <c r="AB266" t="s">
        <v>62</v>
      </c>
      <c r="AC266" s="42">
        <v>32464</v>
      </c>
      <c r="AD266" s="42">
        <v>34233</v>
      </c>
      <c r="AE266" s="53" t="s">
        <v>453</v>
      </c>
      <c r="AF266" s="54" t="s">
        <v>35</v>
      </c>
      <c r="AG266" s="54"/>
      <c r="AH266" s="39" t="s">
        <v>70</v>
      </c>
      <c r="AI266" s="39" t="s">
        <v>52</v>
      </c>
    </row>
    <row r="267" spans="1:35" ht="17" x14ac:dyDescent="0.2">
      <c r="A267">
        <v>138</v>
      </c>
      <c r="B267">
        <v>581</v>
      </c>
      <c r="C267" t="s">
        <v>4457</v>
      </c>
      <c r="D267" s="39" t="s">
        <v>3253</v>
      </c>
      <c r="E267" s="39" t="s">
        <v>226</v>
      </c>
      <c r="F267" s="39" t="s">
        <v>35</v>
      </c>
      <c r="G267" s="39" t="s">
        <v>205</v>
      </c>
      <c r="I267" s="39" t="s">
        <v>3254</v>
      </c>
      <c r="J267" s="39" t="s">
        <v>35</v>
      </c>
      <c r="K267" t="s">
        <v>3255</v>
      </c>
      <c r="L267" t="s">
        <v>3256</v>
      </c>
      <c r="M267" s="6" t="s">
        <v>5970</v>
      </c>
      <c r="N267" t="s">
        <v>86</v>
      </c>
      <c r="O267" t="s">
        <v>49</v>
      </c>
      <c r="P267" s="35" t="s">
        <v>50</v>
      </c>
      <c r="Q267" t="s">
        <v>62</v>
      </c>
      <c r="R267" t="s">
        <v>3257</v>
      </c>
      <c r="S267" s="6" t="s">
        <v>3839</v>
      </c>
      <c r="T267" s="43" t="s">
        <v>1466</v>
      </c>
      <c r="U267" s="43" t="s">
        <v>231</v>
      </c>
      <c r="V267" t="s">
        <v>49</v>
      </c>
      <c r="W267" s="57"/>
      <c r="X267" s="57"/>
      <c r="Y267" t="s">
        <v>50</v>
      </c>
      <c r="Z267" s="39"/>
      <c r="AA267" s="39"/>
      <c r="AB267" t="s">
        <v>44</v>
      </c>
      <c r="AC267" s="42">
        <v>36280</v>
      </c>
      <c r="AD267" s="42">
        <v>37313</v>
      </c>
      <c r="AE267" s="53" t="s">
        <v>51</v>
      </c>
      <c r="AF267" s="54" t="s">
        <v>35</v>
      </c>
      <c r="AG267" s="54"/>
      <c r="AH267" s="39" t="s">
        <v>52</v>
      </c>
      <c r="AI267" s="39" t="s">
        <v>52</v>
      </c>
    </row>
    <row r="268" spans="1:35" ht="17" x14ac:dyDescent="0.2">
      <c r="A268">
        <v>21</v>
      </c>
      <c r="B268">
        <v>127</v>
      </c>
      <c r="C268" t="s">
        <v>4459</v>
      </c>
      <c r="D268" s="39" t="s">
        <v>962</v>
      </c>
      <c r="E268" s="39" t="s">
        <v>963</v>
      </c>
      <c r="F268" s="39" t="s">
        <v>35</v>
      </c>
      <c r="G268" s="39" t="s">
        <v>194</v>
      </c>
      <c r="I268" s="39" t="s">
        <v>964</v>
      </c>
      <c r="J268" s="39" t="s">
        <v>35</v>
      </c>
      <c r="K268" t="s">
        <v>965</v>
      </c>
      <c r="L268" s="49" t="s">
        <v>966</v>
      </c>
      <c r="M268" s="6" t="s">
        <v>5971</v>
      </c>
      <c r="O268" t="s">
        <v>967</v>
      </c>
      <c r="P268" s="35" t="s">
        <v>50</v>
      </c>
      <c r="Q268" t="s">
        <v>100</v>
      </c>
      <c r="S268" s="6" t="s">
        <v>35</v>
      </c>
      <c r="T268" s="43" t="s">
        <v>35</v>
      </c>
      <c r="U268" s="43" t="s">
        <v>35</v>
      </c>
      <c r="W268" s="57"/>
      <c r="X268" s="57"/>
      <c r="Z268" s="39"/>
      <c r="AA268" s="39"/>
      <c r="AB268" t="s">
        <v>35</v>
      </c>
      <c r="AC268" s="42">
        <v>33240</v>
      </c>
      <c r="AD268" s="42">
        <v>1991</v>
      </c>
      <c r="AE268" s="53" t="s">
        <v>51</v>
      </c>
      <c r="AF268" s="54" t="s">
        <v>35</v>
      </c>
      <c r="AG268" s="54"/>
      <c r="AH268" s="39" t="s">
        <v>52</v>
      </c>
      <c r="AI268" s="39" t="s">
        <v>52</v>
      </c>
    </row>
    <row r="269" spans="1:35" ht="17" x14ac:dyDescent="0.2">
      <c r="A269">
        <v>281</v>
      </c>
      <c r="B269">
        <v>213</v>
      </c>
      <c r="C269" t="s">
        <v>4460</v>
      </c>
      <c r="D269" s="39" t="s">
        <v>1443</v>
      </c>
      <c r="E269" s="39" t="s">
        <v>1444</v>
      </c>
      <c r="F269" s="39" t="s">
        <v>35</v>
      </c>
      <c r="G269" s="39" t="s">
        <v>55</v>
      </c>
      <c r="H269" s="34"/>
      <c r="I269" s="39" t="s">
        <v>1445</v>
      </c>
      <c r="J269" s="39" t="s">
        <v>35</v>
      </c>
      <c r="K269" t="s">
        <v>1446</v>
      </c>
      <c r="L269" t="s">
        <v>1447</v>
      </c>
      <c r="M269" s="6" t="s">
        <v>4495</v>
      </c>
      <c r="N269" s="37" t="s">
        <v>59</v>
      </c>
      <c r="O269" t="s">
        <v>49</v>
      </c>
      <c r="P269" s="35" t="s">
        <v>50</v>
      </c>
      <c r="Q269" t="s">
        <v>62</v>
      </c>
      <c r="R269" t="s">
        <v>1448</v>
      </c>
      <c r="S269" s="6" t="s">
        <v>3461</v>
      </c>
      <c r="T269" s="43" t="s">
        <v>1449</v>
      </c>
      <c r="U269" s="43" t="s">
        <v>1450</v>
      </c>
      <c r="V269" t="s">
        <v>49</v>
      </c>
      <c r="W269" s="57"/>
      <c r="X269" s="57"/>
      <c r="Y269" t="s">
        <v>50</v>
      </c>
      <c r="Z269" s="39"/>
      <c r="AA269" s="39"/>
      <c r="AB269" t="s">
        <v>115</v>
      </c>
      <c r="AC269" s="42">
        <v>38860</v>
      </c>
      <c r="AD269" s="42">
        <v>39882</v>
      </c>
      <c r="AE269" s="53" t="s">
        <v>453</v>
      </c>
      <c r="AF269" s="54" t="s">
        <v>35</v>
      </c>
      <c r="AG269" s="54"/>
      <c r="AH269" s="39" t="s">
        <v>70</v>
      </c>
      <c r="AI269" s="39" t="s">
        <v>52</v>
      </c>
    </row>
    <row r="270" spans="1:35" ht="17" x14ac:dyDescent="0.2">
      <c r="A270">
        <v>388</v>
      </c>
      <c r="B270">
        <v>151</v>
      </c>
      <c r="C270" t="s">
        <v>4464</v>
      </c>
      <c r="D270" s="39" t="s">
        <v>1110</v>
      </c>
      <c r="E270" s="39" t="s">
        <v>1111</v>
      </c>
      <c r="F270" s="39" t="s">
        <v>35</v>
      </c>
      <c r="G270" s="39" t="s">
        <v>160</v>
      </c>
      <c r="I270" s="39" t="s">
        <v>1112</v>
      </c>
      <c r="J270" s="39" t="s">
        <v>35</v>
      </c>
      <c r="K270" t="s">
        <v>1113</v>
      </c>
      <c r="L270" s="49" t="s">
        <v>8</v>
      </c>
      <c r="M270" s="6" t="s">
        <v>5972</v>
      </c>
      <c r="N270" t="s">
        <v>59</v>
      </c>
      <c r="O270" t="s">
        <v>839</v>
      </c>
      <c r="P270" s="35" t="s">
        <v>354</v>
      </c>
      <c r="Q270" t="s">
        <v>115</v>
      </c>
      <c r="S270" s="6" t="s">
        <v>6195</v>
      </c>
      <c r="T270" s="43" t="s">
        <v>35</v>
      </c>
      <c r="U270" s="43" t="s">
        <v>35</v>
      </c>
      <c r="W270" s="57"/>
      <c r="X270" s="57"/>
      <c r="Z270" s="39"/>
      <c r="AA270" s="39"/>
      <c r="AB270" t="s">
        <v>35</v>
      </c>
      <c r="AC270" s="42">
        <v>42023</v>
      </c>
      <c r="AD270" s="42">
        <v>43374</v>
      </c>
      <c r="AE270" s="53" t="s">
        <v>157</v>
      </c>
      <c r="AF270" s="54" t="s">
        <v>955</v>
      </c>
      <c r="AG270" s="54"/>
      <c r="AH270" s="39" t="s">
        <v>70</v>
      </c>
      <c r="AI270" s="39" t="s">
        <v>52</v>
      </c>
    </row>
    <row r="271" spans="1:35" ht="17" x14ac:dyDescent="0.2">
      <c r="A271">
        <v>528</v>
      </c>
      <c r="B271">
        <v>212</v>
      </c>
      <c r="C271" t="s">
        <v>4471</v>
      </c>
      <c r="D271" s="39" t="s">
        <v>1437</v>
      </c>
      <c r="E271" s="39" t="s">
        <v>1111</v>
      </c>
      <c r="F271" s="39" t="s">
        <v>35</v>
      </c>
      <c r="G271" s="39" t="s">
        <v>36</v>
      </c>
      <c r="I271" s="39" t="s">
        <v>1438</v>
      </c>
      <c r="J271" s="39" t="s">
        <v>1439</v>
      </c>
      <c r="K271" t="s">
        <v>1440</v>
      </c>
      <c r="L271" t="s">
        <v>1441</v>
      </c>
      <c r="M271" s="6" t="s">
        <v>4392</v>
      </c>
      <c r="N271" t="s">
        <v>97</v>
      </c>
      <c r="O271" t="s">
        <v>49</v>
      </c>
      <c r="P271" s="35" t="s">
        <v>50</v>
      </c>
      <c r="Q271" t="s">
        <v>44</v>
      </c>
      <c r="R271" t="s">
        <v>1442</v>
      </c>
      <c r="S271" s="6" t="s">
        <v>4458</v>
      </c>
      <c r="T271" s="43" t="s">
        <v>528</v>
      </c>
      <c r="U271" s="43" t="s">
        <v>213</v>
      </c>
      <c r="W271" s="57"/>
      <c r="X271" s="57"/>
      <c r="Z271" s="39"/>
      <c r="AA271" s="39"/>
      <c r="AB271" t="s">
        <v>479</v>
      </c>
      <c r="AC271" s="42">
        <v>43891</v>
      </c>
      <c r="AD271" s="42">
        <v>44075</v>
      </c>
      <c r="AE271" s="53" t="s">
        <v>51</v>
      </c>
      <c r="AF271" s="54" t="s">
        <v>35</v>
      </c>
      <c r="AG271" s="54"/>
      <c r="AH271" s="39" t="s">
        <v>52</v>
      </c>
      <c r="AI271" s="39" t="s">
        <v>52</v>
      </c>
    </row>
    <row r="272" spans="1:35" ht="17" x14ac:dyDescent="0.2">
      <c r="A272">
        <v>590</v>
      </c>
      <c r="B272">
        <v>395</v>
      </c>
      <c r="C272" t="s">
        <v>5809</v>
      </c>
      <c r="D272" s="39" t="s">
        <v>2386</v>
      </c>
      <c r="E272" s="39" t="s">
        <v>1111</v>
      </c>
      <c r="F272" s="39" t="s">
        <v>35</v>
      </c>
      <c r="G272" s="39" t="s">
        <v>259</v>
      </c>
      <c r="I272" s="39" t="s">
        <v>2387</v>
      </c>
      <c r="J272" s="39" t="s">
        <v>2388</v>
      </c>
      <c r="K272" t="s">
        <v>2389</v>
      </c>
      <c r="L272" t="s">
        <v>864</v>
      </c>
      <c r="M272" s="6" t="s">
        <v>3493</v>
      </c>
      <c r="N272" t="s">
        <v>131</v>
      </c>
      <c r="O272" t="s">
        <v>49</v>
      </c>
      <c r="P272" s="35" t="s">
        <v>50</v>
      </c>
      <c r="Q272" t="s">
        <v>132</v>
      </c>
      <c r="R272" t="s">
        <v>555</v>
      </c>
      <c r="S272" s="6" t="s">
        <v>35</v>
      </c>
      <c r="T272" s="43" t="s">
        <v>246</v>
      </c>
      <c r="U272" s="43" t="s">
        <v>246</v>
      </c>
      <c r="V272" t="s">
        <v>49</v>
      </c>
      <c r="W272" s="57"/>
      <c r="X272" s="57"/>
      <c r="Y272" t="s">
        <v>50</v>
      </c>
      <c r="Z272" s="39"/>
      <c r="AA272" s="39"/>
      <c r="AB272" t="s">
        <v>132</v>
      </c>
      <c r="AC272" s="42">
        <v>44564</v>
      </c>
      <c r="AD272" s="42">
        <v>45300</v>
      </c>
      <c r="AE272" s="53"/>
      <c r="AF272" s="54" t="s">
        <v>35</v>
      </c>
      <c r="AG272" s="54"/>
      <c r="AH272" s="39" t="s">
        <v>70</v>
      </c>
      <c r="AI272" s="39" t="s">
        <v>52</v>
      </c>
    </row>
    <row r="273" spans="1:35" ht="17" x14ac:dyDescent="0.2">
      <c r="A273" t="s">
        <v>35</v>
      </c>
      <c r="B273">
        <v>425</v>
      </c>
      <c r="C273" t="s">
        <v>5812</v>
      </c>
      <c r="D273" s="39" t="s">
        <v>2525</v>
      </c>
      <c r="E273" s="39" t="s">
        <v>1111</v>
      </c>
      <c r="F273" s="39" t="s">
        <v>2235</v>
      </c>
      <c r="G273" s="39" t="s">
        <v>160</v>
      </c>
      <c r="I273" s="39" t="s">
        <v>2526</v>
      </c>
      <c r="J273" s="39" t="s">
        <v>35</v>
      </c>
      <c r="K273" t="s">
        <v>2527</v>
      </c>
      <c r="L273" t="s">
        <v>2528</v>
      </c>
      <c r="M273" s="6" t="s">
        <v>3916</v>
      </c>
      <c r="N273" t="s">
        <v>97</v>
      </c>
      <c r="O273" t="s">
        <v>557</v>
      </c>
      <c r="P273" s="35" t="s">
        <v>50</v>
      </c>
      <c r="Q273" t="s">
        <v>132</v>
      </c>
      <c r="R273" t="s">
        <v>424</v>
      </c>
      <c r="S273" s="6" t="s">
        <v>3555</v>
      </c>
      <c r="T273" s="43" t="s">
        <v>164</v>
      </c>
      <c r="U273" s="43" t="s">
        <v>324</v>
      </c>
      <c r="V273" t="s">
        <v>49</v>
      </c>
      <c r="W273" s="57"/>
      <c r="X273" s="57"/>
      <c r="Y273" t="s">
        <v>50</v>
      </c>
      <c r="Z273" s="39"/>
      <c r="AA273" s="39"/>
      <c r="AB273" t="s">
        <v>100</v>
      </c>
      <c r="AC273" s="42">
        <v>40817</v>
      </c>
      <c r="AD273" s="42">
        <v>41183</v>
      </c>
      <c r="AE273" s="53" t="s">
        <v>559</v>
      </c>
      <c r="AF273" s="54" t="s">
        <v>35</v>
      </c>
      <c r="AG273" s="54"/>
      <c r="AH273" s="39" t="s">
        <v>52</v>
      </c>
      <c r="AI273" s="39" t="s">
        <v>70</v>
      </c>
    </row>
    <row r="274" spans="1:35" ht="17" x14ac:dyDescent="0.2">
      <c r="A274">
        <v>245</v>
      </c>
      <c r="B274">
        <v>560</v>
      </c>
      <c r="C274" t="s">
        <v>4478</v>
      </c>
      <c r="D274" s="39" t="s">
        <v>3164</v>
      </c>
      <c r="E274" s="39" t="s">
        <v>1111</v>
      </c>
      <c r="F274" s="39" t="s">
        <v>35</v>
      </c>
      <c r="G274" s="39" t="s">
        <v>82</v>
      </c>
      <c r="I274" s="39" t="s">
        <v>3165</v>
      </c>
      <c r="J274" s="39" t="s">
        <v>35</v>
      </c>
      <c r="K274" t="s">
        <v>3166</v>
      </c>
      <c r="L274" t="s">
        <v>551</v>
      </c>
      <c r="M274" s="6" t="s">
        <v>5973</v>
      </c>
      <c r="N274" t="s">
        <v>41</v>
      </c>
      <c r="O274" t="s">
        <v>49</v>
      </c>
      <c r="P274" s="35" t="s">
        <v>50</v>
      </c>
      <c r="Q274" t="s">
        <v>44</v>
      </c>
      <c r="R274" t="s">
        <v>1447</v>
      </c>
      <c r="S274" s="6" t="s">
        <v>35</v>
      </c>
      <c r="T274" s="43" t="s">
        <v>2233</v>
      </c>
      <c r="U274" s="43" t="s">
        <v>528</v>
      </c>
      <c r="V274" t="s">
        <v>49</v>
      </c>
      <c r="W274" s="57"/>
      <c r="X274" s="57"/>
      <c r="Y274" t="s">
        <v>50</v>
      </c>
      <c r="Z274" s="39"/>
      <c r="AA274" s="39"/>
      <c r="AB274" t="s">
        <v>62</v>
      </c>
      <c r="AC274" s="42">
        <v>38007</v>
      </c>
      <c r="AE274" s="53" t="s">
        <v>51</v>
      </c>
      <c r="AF274" s="54" t="s">
        <v>35</v>
      </c>
      <c r="AG274" s="54"/>
      <c r="AH274" s="39" t="s">
        <v>52</v>
      </c>
      <c r="AI274" s="39" t="s">
        <v>52</v>
      </c>
    </row>
    <row r="275" spans="1:35" ht="17" x14ac:dyDescent="0.2">
      <c r="A275">
        <v>450</v>
      </c>
      <c r="B275">
        <v>571</v>
      </c>
      <c r="C275" t="s">
        <v>4481</v>
      </c>
      <c r="D275" s="39" t="s">
        <v>3211</v>
      </c>
      <c r="E275" s="39" t="s">
        <v>1111</v>
      </c>
      <c r="F275" s="39" t="s">
        <v>35</v>
      </c>
      <c r="G275" s="39" t="s">
        <v>36</v>
      </c>
      <c r="I275" s="39" t="s">
        <v>3212</v>
      </c>
      <c r="J275" s="39" t="s">
        <v>35</v>
      </c>
      <c r="K275" t="s">
        <v>3213</v>
      </c>
      <c r="L275" t="s">
        <v>245</v>
      </c>
      <c r="M275" s="6" t="s">
        <v>64</v>
      </c>
      <c r="N275" t="s">
        <v>59</v>
      </c>
      <c r="O275" t="s">
        <v>42</v>
      </c>
      <c r="P275" s="35" t="s">
        <v>43</v>
      </c>
      <c r="Q275" t="s">
        <v>44</v>
      </c>
      <c r="R275" t="s">
        <v>244</v>
      </c>
      <c r="S275" s="6" t="s">
        <v>6196</v>
      </c>
      <c r="T275" s="43" t="s">
        <v>409</v>
      </c>
      <c r="U275" s="43" t="s">
        <v>48</v>
      </c>
      <c r="V275" t="s">
        <v>42</v>
      </c>
      <c r="W275" s="57"/>
      <c r="X275" s="57"/>
      <c r="Y275" t="s">
        <v>43</v>
      </c>
      <c r="Z275" s="39"/>
      <c r="AA275" s="39"/>
      <c r="AB275" t="s">
        <v>44</v>
      </c>
      <c r="AC275" s="42">
        <v>42751</v>
      </c>
      <c r="AD275" s="42">
        <v>42891</v>
      </c>
      <c r="AE275" s="53" t="s">
        <v>51</v>
      </c>
      <c r="AF275" s="54" t="s">
        <v>35</v>
      </c>
      <c r="AG275" s="54"/>
      <c r="AH275" s="39" t="s">
        <v>52</v>
      </c>
      <c r="AI275" s="39" t="s">
        <v>52</v>
      </c>
    </row>
    <row r="276" spans="1:35" ht="17" x14ac:dyDescent="0.2">
      <c r="A276">
        <v>372</v>
      </c>
      <c r="B276">
        <v>45</v>
      </c>
      <c r="C276" t="s">
        <v>4484</v>
      </c>
      <c r="D276" s="39" t="s">
        <v>419</v>
      </c>
      <c r="E276" s="39" t="s">
        <v>420</v>
      </c>
      <c r="F276" s="39" t="s">
        <v>35</v>
      </c>
      <c r="G276" s="39" t="s">
        <v>160</v>
      </c>
      <c r="I276" s="39" t="s">
        <v>421</v>
      </c>
      <c r="J276" s="39" t="s">
        <v>35</v>
      </c>
      <c r="K276" t="s">
        <v>422</v>
      </c>
      <c r="L276" t="s">
        <v>423</v>
      </c>
      <c r="M276" s="6" t="s">
        <v>3704</v>
      </c>
      <c r="N276" t="s">
        <v>86</v>
      </c>
      <c r="O276" t="s">
        <v>49</v>
      </c>
      <c r="P276" s="35" t="s">
        <v>50</v>
      </c>
      <c r="Q276" t="s">
        <v>115</v>
      </c>
      <c r="R276" t="s">
        <v>424</v>
      </c>
      <c r="S276" s="6" t="s">
        <v>6197</v>
      </c>
      <c r="T276" s="43" t="s">
        <v>66</v>
      </c>
      <c r="U276" s="43" t="s">
        <v>47</v>
      </c>
      <c r="V276" t="s">
        <v>49</v>
      </c>
      <c r="W276" s="57"/>
      <c r="X276" s="57"/>
      <c r="Y276" t="s">
        <v>50</v>
      </c>
      <c r="Z276" s="39"/>
      <c r="AA276" s="39"/>
      <c r="AB276" t="s">
        <v>100</v>
      </c>
      <c r="AC276" s="42">
        <v>41666</v>
      </c>
      <c r="AD276" s="42">
        <v>42121</v>
      </c>
      <c r="AE276" s="53" t="s">
        <v>425</v>
      </c>
      <c r="AF276" s="54" t="s">
        <v>35</v>
      </c>
      <c r="AG276" s="54"/>
      <c r="AH276" s="39" t="s">
        <v>52</v>
      </c>
      <c r="AI276" s="39" t="s">
        <v>70</v>
      </c>
    </row>
    <row r="277" spans="1:35" ht="17" x14ac:dyDescent="0.2">
      <c r="B277">
        <v>73</v>
      </c>
      <c r="C277" t="s">
        <v>5769</v>
      </c>
      <c r="D277" s="39" t="s">
        <v>603</v>
      </c>
      <c r="E277" s="39" t="s">
        <v>420</v>
      </c>
      <c r="F277" s="39" t="s">
        <v>35</v>
      </c>
      <c r="G277" s="39" t="s">
        <v>205</v>
      </c>
      <c r="I277" s="39" t="s">
        <v>604</v>
      </c>
      <c r="J277" s="39" t="s">
        <v>605</v>
      </c>
      <c r="K277" t="s">
        <v>606</v>
      </c>
      <c r="L277" s="49" t="s">
        <v>607</v>
      </c>
      <c r="M277" s="6" t="s">
        <v>5974</v>
      </c>
      <c r="N277" t="s">
        <v>86</v>
      </c>
      <c r="O277" t="s">
        <v>399</v>
      </c>
      <c r="P277" s="35" t="s">
        <v>50</v>
      </c>
      <c r="Q277" t="s">
        <v>200</v>
      </c>
      <c r="R277" t="s">
        <v>163</v>
      </c>
      <c r="S277" s="6" t="s">
        <v>6198</v>
      </c>
      <c r="T277" s="43" t="s">
        <v>246</v>
      </c>
      <c r="U277" s="43" t="s">
        <v>324</v>
      </c>
      <c r="V277" t="s">
        <v>49</v>
      </c>
      <c r="W277" s="57"/>
      <c r="X277" s="57"/>
      <c r="Y277" t="s">
        <v>50</v>
      </c>
      <c r="Z277" s="39"/>
      <c r="AA277" s="39"/>
      <c r="AB277" t="s">
        <v>62</v>
      </c>
      <c r="AE277" s="53"/>
      <c r="AF277" s="54" t="s">
        <v>35</v>
      </c>
      <c r="AG277" s="54"/>
      <c r="AH277" s="39" t="s">
        <v>52</v>
      </c>
      <c r="AI277" s="39" t="s">
        <v>52</v>
      </c>
    </row>
    <row r="278" spans="1:35" ht="17" x14ac:dyDescent="0.2">
      <c r="A278">
        <v>323</v>
      </c>
      <c r="B278">
        <v>85</v>
      </c>
      <c r="C278" t="s">
        <v>4490</v>
      </c>
      <c r="D278" s="39" t="s">
        <v>682</v>
      </c>
      <c r="E278" s="39" t="s">
        <v>420</v>
      </c>
      <c r="F278" s="39" t="s">
        <v>35</v>
      </c>
      <c r="G278" s="39" t="s">
        <v>55</v>
      </c>
      <c r="H278" s="34"/>
      <c r="I278" s="39" t="s">
        <v>683</v>
      </c>
      <c r="J278" s="39" t="s">
        <v>35</v>
      </c>
      <c r="L278" s="49" t="s">
        <v>684</v>
      </c>
      <c r="M278" s="6" t="s">
        <v>5975</v>
      </c>
      <c r="N278" t="s">
        <v>59</v>
      </c>
      <c r="O278" t="s">
        <v>42</v>
      </c>
      <c r="P278" s="35" t="s">
        <v>43</v>
      </c>
      <c r="Q278" t="s">
        <v>44</v>
      </c>
      <c r="R278" t="s">
        <v>684</v>
      </c>
      <c r="S278" s="6" t="s">
        <v>3839</v>
      </c>
      <c r="T278" s="43" t="s">
        <v>685</v>
      </c>
      <c r="U278" s="43" t="s">
        <v>686</v>
      </c>
      <c r="V278" t="s">
        <v>42</v>
      </c>
      <c r="W278" s="57"/>
      <c r="X278" s="57"/>
      <c r="Y278" t="s">
        <v>43</v>
      </c>
      <c r="Z278" s="39"/>
      <c r="AA278" s="39"/>
      <c r="AB278" t="s">
        <v>44</v>
      </c>
      <c r="AC278" s="42">
        <v>39882</v>
      </c>
      <c r="AD278" s="42">
        <v>40330</v>
      </c>
      <c r="AE278" s="53" t="s">
        <v>51</v>
      </c>
      <c r="AF278" s="54" t="s">
        <v>35</v>
      </c>
      <c r="AG278" s="54"/>
      <c r="AH278" s="39" t="s">
        <v>52</v>
      </c>
      <c r="AI278" s="39" t="s">
        <v>52</v>
      </c>
    </row>
    <row r="279" spans="1:35" ht="17" x14ac:dyDescent="0.2">
      <c r="A279">
        <v>387</v>
      </c>
      <c r="B279">
        <v>100</v>
      </c>
      <c r="C279" t="s">
        <v>4496</v>
      </c>
      <c r="D279" s="39" t="s">
        <v>775</v>
      </c>
      <c r="E279" s="39" t="s">
        <v>420</v>
      </c>
      <c r="F279" s="39" t="s">
        <v>35</v>
      </c>
      <c r="G279" s="39" t="s">
        <v>160</v>
      </c>
      <c r="I279" s="39" t="s">
        <v>776</v>
      </c>
      <c r="J279" s="39" t="s">
        <v>35</v>
      </c>
      <c r="K279" t="s">
        <v>777</v>
      </c>
      <c r="L279" s="49" t="s">
        <v>778</v>
      </c>
      <c r="M279" s="6" t="s">
        <v>5976</v>
      </c>
      <c r="N279" t="s">
        <v>86</v>
      </c>
      <c r="O279" t="s">
        <v>49</v>
      </c>
      <c r="P279" s="35" t="s">
        <v>50</v>
      </c>
      <c r="Q279" t="s">
        <v>115</v>
      </c>
      <c r="R279" t="s">
        <v>631</v>
      </c>
      <c r="S279" s="6" t="s">
        <v>6199</v>
      </c>
      <c r="T279" s="43" t="s">
        <v>779</v>
      </c>
      <c r="U279" s="43" t="s">
        <v>719</v>
      </c>
      <c r="V279" t="s">
        <v>780</v>
      </c>
      <c r="W279" s="57"/>
      <c r="X279" s="57"/>
      <c r="Y279" t="s">
        <v>781</v>
      </c>
      <c r="Z279" s="39"/>
      <c r="AA279" s="39"/>
      <c r="AB279" t="s">
        <v>62</v>
      </c>
      <c r="AC279" s="42">
        <v>42023</v>
      </c>
      <c r="AD279" s="42">
        <v>42886</v>
      </c>
      <c r="AE279" s="53" t="s">
        <v>453</v>
      </c>
      <c r="AF279" s="54" t="s">
        <v>425</v>
      </c>
      <c r="AG279" s="54"/>
      <c r="AH279" s="39" t="s">
        <v>70</v>
      </c>
      <c r="AI279" s="39" t="s">
        <v>70</v>
      </c>
    </row>
    <row r="280" spans="1:35" ht="17" x14ac:dyDescent="0.2">
      <c r="A280">
        <v>425</v>
      </c>
      <c r="B280">
        <v>107</v>
      </c>
      <c r="C280" t="s">
        <v>4501</v>
      </c>
      <c r="D280" s="39" t="s">
        <v>827</v>
      </c>
      <c r="E280" s="39" t="s">
        <v>420</v>
      </c>
      <c r="F280" s="39" t="s">
        <v>35</v>
      </c>
      <c r="G280" s="39" t="s">
        <v>160</v>
      </c>
      <c r="I280" s="39" t="s">
        <v>828</v>
      </c>
      <c r="J280" s="39" t="s">
        <v>829</v>
      </c>
      <c r="K280" t="s">
        <v>830</v>
      </c>
      <c r="L280" s="49" t="s">
        <v>407</v>
      </c>
      <c r="M280" s="6" t="s">
        <v>4488</v>
      </c>
      <c r="N280" t="s">
        <v>59</v>
      </c>
      <c r="O280" t="s">
        <v>42</v>
      </c>
      <c r="P280" s="35" t="s">
        <v>43</v>
      </c>
      <c r="Q280" t="s">
        <v>44</v>
      </c>
      <c r="R280" t="s">
        <v>657</v>
      </c>
      <c r="S280" s="6" t="s">
        <v>4489</v>
      </c>
      <c r="T280" s="43" t="s">
        <v>66</v>
      </c>
      <c r="U280" s="43" t="s">
        <v>818</v>
      </c>
      <c r="V280" t="s">
        <v>42</v>
      </c>
      <c r="W280" s="57"/>
      <c r="X280" s="57"/>
      <c r="Y280" t="s">
        <v>43</v>
      </c>
      <c r="Z280" s="39"/>
      <c r="AA280" s="39"/>
      <c r="AB280" t="s">
        <v>44</v>
      </c>
      <c r="AC280" s="42">
        <v>42644</v>
      </c>
      <c r="AD280" s="42">
        <v>43367</v>
      </c>
      <c r="AE280" s="53" t="s">
        <v>68</v>
      </c>
      <c r="AF280" s="54" t="s">
        <v>35</v>
      </c>
      <c r="AG280" s="54"/>
      <c r="AH280" s="39" t="s">
        <v>70</v>
      </c>
      <c r="AI280" s="39" t="s">
        <v>52</v>
      </c>
    </row>
    <row r="281" spans="1:35" ht="17" x14ac:dyDescent="0.2">
      <c r="A281">
        <v>395</v>
      </c>
      <c r="B281">
        <v>172</v>
      </c>
      <c r="C281" t="s">
        <v>4504</v>
      </c>
      <c r="D281" s="39" t="s">
        <v>1217</v>
      </c>
      <c r="E281" s="39" t="s">
        <v>420</v>
      </c>
      <c r="F281" s="39" t="s">
        <v>35</v>
      </c>
      <c r="G281" s="39" t="s">
        <v>160</v>
      </c>
      <c r="I281" s="39" t="s">
        <v>1218</v>
      </c>
      <c r="J281" s="39" t="s">
        <v>35</v>
      </c>
      <c r="K281" t="s">
        <v>1219</v>
      </c>
      <c r="L281" s="49" t="s">
        <v>245</v>
      </c>
      <c r="M281" s="6" t="s">
        <v>453</v>
      </c>
      <c r="N281" s="36" t="s">
        <v>86</v>
      </c>
      <c r="O281" t="s">
        <v>49</v>
      </c>
      <c r="P281" s="35" t="s">
        <v>50</v>
      </c>
      <c r="Q281" t="s">
        <v>44</v>
      </c>
      <c r="R281" t="s">
        <v>611</v>
      </c>
      <c r="S281" s="6" t="s">
        <v>6200</v>
      </c>
      <c r="T281" s="43" t="s">
        <v>409</v>
      </c>
      <c r="U281" s="43" t="s">
        <v>418</v>
      </c>
      <c r="V281" t="s">
        <v>49</v>
      </c>
      <c r="W281" s="57"/>
      <c r="X281" s="57"/>
      <c r="Y281" t="s">
        <v>50</v>
      </c>
      <c r="Z281" s="39"/>
      <c r="AA281" s="39"/>
      <c r="AB281" t="s">
        <v>44</v>
      </c>
      <c r="AC281" s="42">
        <v>42159</v>
      </c>
      <c r="AD281" s="42">
        <v>43591</v>
      </c>
      <c r="AE281" s="53" t="s">
        <v>453</v>
      </c>
      <c r="AF281" s="54" t="s">
        <v>35</v>
      </c>
      <c r="AG281" s="54"/>
      <c r="AH281" s="39" t="s">
        <v>70</v>
      </c>
      <c r="AI281" s="39" t="s">
        <v>52</v>
      </c>
    </row>
    <row r="282" spans="1:35" ht="17" x14ac:dyDescent="0.2">
      <c r="A282">
        <v>60</v>
      </c>
      <c r="B282">
        <v>193</v>
      </c>
      <c r="C282" t="s">
        <v>4506</v>
      </c>
      <c r="D282" s="39" t="s">
        <v>1337</v>
      </c>
      <c r="E282" s="39" t="s">
        <v>420</v>
      </c>
      <c r="F282" s="39" t="s">
        <v>35</v>
      </c>
      <c r="G282" s="39" t="s">
        <v>194</v>
      </c>
      <c r="I282" s="39" t="s">
        <v>1338</v>
      </c>
      <c r="J282" s="39" t="s">
        <v>35</v>
      </c>
      <c r="K282" t="s">
        <v>1339</v>
      </c>
      <c r="L282" t="s">
        <v>1340</v>
      </c>
      <c r="M282" s="6" t="s">
        <v>4494</v>
      </c>
      <c r="N282" t="s">
        <v>86</v>
      </c>
      <c r="O282" t="s">
        <v>190</v>
      </c>
      <c r="P282" s="35" t="s">
        <v>191</v>
      </c>
      <c r="Q282" t="s">
        <v>44</v>
      </c>
      <c r="R282" t="s">
        <v>1341</v>
      </c>
      <c r="S282" s="6" t="s">
        <v>4495</v>
      </c>
      <c r="T282" s="43" t="s">
        <v>768</v>
      </c>
      <c r="U282" s="43" t="s">
        <v>324</v>
      </c>
      <c r="V282" t="s">
        <v>49</v>
      </c>
      <c r="W282" s="57"/>
      <c r="X282" s="57"/>
      <c r="Y282" t="s">
        <v>50</v>
      </c>
      <c r="Z282" s="39"/>
      <c r="AA282" s="39"/>
      <c r="AB282" t="s">
        <v>44</v>
      </c>
      <c r="AC282" s="42">
        <v>33419</v>
      </c>
      <c r="AD282" s="42">
        <v>34233</v>
      </c>
      <c r="AE282" s="53" t="s">
        <v>51</v>
      </c>
      <c r="AF282" s="54" t="s">
        <v>35</v>
      </c>
      <c r="AG282" s="54"/>
      <c r="AH282" s="39" t="s">
        <v>52</v>
      </c>
      <c r="AI282" s="39" t="s">
        <v>52</v>
      </c>
    </row>
    <row r="283" spans="1:35" ht="17" x14ac:dyDescent="0.2">
      <c r="A283">
        <v>416</v>
      </c>
      <c r="B283">
        <v>221</v>
      </c>
      <c r="C283" t="s">
        <v>4509</v>
      </c>
      <c r="D283" s="39" t="s">
        <v>1494</v>
      </c>
      <c r="E283" s="39" t="s">
        <v>420</v>
      </c>
      <c r="F283" s="39" t="s">
        <v>35</v>
      </c>
      <c r="G283" s="39" t="s">
        <v>36</v>
      </c>
      <c r="I283" s="39" t="s">
        <v>1495</v>
      </c>
      <c r="J283" s="39" t="s">
        <v>1496</v>
      </c>
      <c r="K283" t="s">
        <v>1497</v>
      </c>
      <c r="L283" t="s">
        <v>1498</v>
      </c>
      <c r="M283" s="6" t="s">
        <v>3544</v>
      </c>
      <c r="N283" t="s">
        <v>97</v>
      </c>
      <c r="O283" t="s">
        <v>49</v>
      </c>
      <c r="P283" s="35" t="s">
        <v>50</v>
      </c>
      <c r="Q283" t="s">
        <v>132</v>
      </c>
      <c r="R283" t="s">
        <v>1499</v>
      </c>
      <c r="S283" s="6" t="s">
        <v>3501</v>
      </c>
      <c r="T283" s="43" t="s">
        <v>289</v>
      </c>
      <c r="U283" s="43" t="s">
        <v>135</v>
      </c>
      <c r="V283" t="s">
        <v>401</v>
      </c>
      <c r="W283" s="57"/>
      <c r="X283" s="57"/>
      <c r="Y283" t="s">
        <v>50</v>
      </c>
      <c r="Z283" s="39"/>
      <c r="AA283" s="39"/>
      <c r="AB283" t="s">
        <v>132</v>
      </c>
      <c r="AC283" s="42">
        <v>42513</v>
      </c>
      <c r="AD283" s="42">
        <v>43472</v>
      </c>
      <c r="AE283" s="53" t="s">
        <v>239</v>
      </c>
      <c r="AF283" s="54" t="s">
        <v>157</v>
      </c>
      <c r="AG283" s="54"/>
      <c r="AH283" s="39" t="s">
        <v>70</v>
      </c>
      <c r="AI283" s="39" t="s">
        <v>52</v>
      </c>
    </row>
    <row r="284" spans="1:35" ht="17" x14ac:dyDescent="0.2">
      <c r="A284">
        <v>135</v>
      </c>
      <c r="B284">
        <v>390</v>
      </c>
      <c r="C284" t="s">
        <v>4513</v>
      </c>
      <c r="D284" s="39" t="s">
        <v>2361</v>
      </c>
      <c r="E284" s="39" t="s">
        <v>420</v>
      </c>
      <c r="F284" s="39" t="s">
        <v>35</v>
      </c>
      <c r="G284" s="39" t="s">
        <v>205</v>
      </c>
      <c r="I284" s="39" t="s">
        <v>2362</v>
      </c>
      <c r="J284" s="39" t="s">
        <v>35</v>
      </c>
      <c r="K284" t="s">
        <v>2363</v>
      </c>
      <c r="L284" t="s">
        <v>2364</v>
      </c>
      <c r="M284" s="6" t="s">
        <v>4494</v>
      </c>
      <c r="P284" s="35"/>
      <c r="Q284" t="s">
        <v>76</v>
      </c>
      <c r="R284" t="s">
        <v>2365</v>
      </c>
      <c r="S284" s="6" t="s">
        <v>3761</v>
      </c>
      <c r="T284" s="43" t="s">
        <v>238</v>
      </c>
      <c r="U284" s="43" t="s">
        <v>155</v>
      </c>
      <c r="V284" t="s">
        <v>49</v>
      </c>
      <c r="W284" s="57"/>
      <c r="X284" s="57"/>
      <c r="Y284" t="s">
        <v>50</v>
      </c>
      <c r="Z284" s="39"/>
      <c r="AA284" s="39"/>
      <c r="AB284" t="s">
        <v>76</v>
      </c>
      <c r="AC284" s="42">
        <v>36280</v>
      </c>
      <c r="AD284" s="42">
        <v>36584</v>
      </c>
      <c r="AE284" s="53" t="s">
        <v>51</v>
      </c>
      <c r="AF284" s="54" t="s">
        <v>35</v>
      </c>
      <c r="AG284" s="54"/>
      <c r="AH284" s="39" t="s">
        <v>52</v>
      </c>
      <c r="AI284" s="39" t="s">
        <v>52</v>
      </c>
    </row>
    <row r="285" spans="1:35" ht="17" x14ac:dyDescent="0.2">
      <c r="A285">
        <v>304</v>
      </c>
      <c r="B285">
        <v>451</v>
      </c>
      <c r="C285" t="s">
        <v>4518</v>
      </c>
      <c r="D285" s="39" t="s">
        <v>2628</v>
      </c>
      <c r="E285" s="39" t="s">
        <v>420</v>
      </c>
      <c r="F285" s="39" t="s">
        <v>35</v>
      </c>
      <c r="G285" s="39" t="s">
        <v>55</v>
      </c>
      <c r="I285" s="39" t="s">
        <v>2629</v>
      </c>
      <c r="J285" s="39" t="s">
        <v>35</v>
      </c>
      <c r="K285" t="s">
        <v>2630</v>
      </c>
      <c r="L285" t="s">
        <v>2631</v>
      </c>
      <c r="M285" s="6" t="s">
        <v>3493</v>
      </c>
      <c r="N285" t="s">
        <v>59</v>
      </c>
      <c r="O285" t="s">
        <v>401</v>
      </c>
      <c r="P285" s="35" t="s">
        <v>50</v>
      </c>
      <c r="Q285" t="s">
        <v>44</v>
      </c>
      <c r="R285" t="s">
        <v>2632</v>
      </c>
      <c r="S285" s="6" t="s">
        <v>6201</v>
      </c>
      <c r="T285" s="43" t="s">
        <v>2633</v>
      </c>
      <c r="U285" s="43" t="s">
        <v>741</v>
      </c>
      <c r="W285" s="57"/>
      <c r="X285" s="57"/>
      <c r="Z285" s="39"/>
      <c r="AA285" s="39"/>
      <c r="AB285" t="s">
        <v>44</v>
      </c>
      <c r="AC285" s="42">
        <v>39238</v>
      </c>
      <c r="AD285" s="42">
        <v>40330</v>
      </c>
      <c r="AE285" s="53" t="s">
        <v>51</v>
      </c>
      <c r="AF285" s="54" t="s">
        <v>35</v>
      </c>
      <c r="AG285" s="54"/>
      <c r="AH285" s="39" t="s">
        <v>52</v>
      </c>
      <c r="AI285" s="39" t="s">
        <v>52</v>
      </c>
    </row>
    <row r="286" spans="1:35" ht="17" x14ac:dyDescent="0.2">
      <c r="A286">
        <v>499</v>
      </c>
      <c r="B286">
        <v>493</v>
      </c>
      <c r="C286" t="s">
        <v>4522</v>
      </c>
      <c r="D286" s="39" t="s">
        <v>2822</v>
      </c>
      <c r="E286" s="39" t="s">
        <v>420</v>
      </c>
      <c r="F286" s="39" t="s">
        <v>35</v>
      </c>
      <c r="G286" s="39" t="s">
        <v>36</v>
      </c>
      <c r="H286" s="34"/>
      <c r="I286" s="39" t="s">
        <v>2823</v>
      </c>
      <c r="J286" s="39" t="s">
        <v>35</v>
      </c>
      <c r="K286" t="s">
        <v>2824</v>
      </c>
      <c r="L286" t="s">
        <v>844</v>
      </c>
      <c r="M286" s="6" t="s">
        <v>4148</v>
      </c>
      <c r="N286" t="s">
        <v>59</v>
      </c>
      <c r="O286" t="s">
        <v>49</v>
      </c>
      <c r="P286" s="35" t="s">
        <v>50</v>
      </c>
      <c r="Q286" t="s">
        <v>115</v>
      </c>
      <c r="R286" t="s">
        <v>1321</v>
      </c>
      <c r="S286" s="6" t="s">
        <v>4508</v>
      </c>
      <c r="T286" s="43" t="s">
        <v>528</v>
      </c>
      <c r="U286" s="43" t="s">
        <v>125</v>
      </c>
      <c r="V286" t="s">
        <v>49</v>
      </c>
      <c r="W286" s="57"/>
      <c r="X286" s="57"/>
      <c r="Y286" t="s">
        <v>50</v>
      </c>
      <c r="Z286" s="39"/>
      <c r="AA286" s="39"/>
      <c r="AB286" t="s">
        <v>115</v>
      </c>
      <c r="AC286" s="42">
        <v>43626</v>
      </c>
      <c r="AD286" s="42">
        <v>44627</v>
      </c>
      <c r="AE286" s="53" t="s">
        <v>51</v>
      </c>
      <c r="AF286" s="54" t="s">
        <v>35</v>
      </c>
      <c r="AG286" s="54"/>
      <c r="AH286" s="39" t="s">
        <v>52</v>
      </c>
      <c r="AI286" s="39" t="s">
        <v>52</v>
      </c>
    </row>
    <row r="287" spans="1:35" ht="17" x14ac:dyDescent="0.2">
      <c r="A287">
        <v>377</v>
      </c>
      <c r="B287">
        <v>519</v>
      </c>
      <c r="C287" t="s">
        <v>4524</v>
      </c>
      <c r="D287" s="39" t="s">
        <v>2951</v>
      </c>
      <c r="E287" s="39" t="s">
        <v>420</v>
      </c>
      <c r="F287" s="39" t="s">
        <v>35</v>
      </c>
      <c r="G287" s="39" t="s">
        <v>160</v>
      </c>
      <c r="I287" s="39" t="s">
        <v>2952</v>
      </c>
      <c r="J287" s="39" t="s">
        <v>35</v>
      </c>
      <c r="K287" t="s">
        <v>2953</v>
      </c>
      <c r="L287" t="s">
        <v>2954</v>
      </c>
      <c r="M287" s="6" t="s">
        <v>5977</v>
      </c>
      <c r="N287" t="s">
        <v>41</v>
      </c>
      <c r="O287" t="s">
        <v>49</v>
      </c>
      <c r="P287" s="35" t="s">
        <v>50</v>
      </c>
      <c r="Q287" t="s">
        <v>35</v>
      </c>
      <c r="R287" t="s">
        <v>1516</v>
      </c>
      <c r="S287" s="6" t="s">
        <v>6202</v>
      </c>
      <c r="T287" s="43" t="s">
        <v>409</v>
      </c>
      <c r="U287" s="43" t="s">
        <v>1204</v>
      </c>
      <c r="V287" t="s">
        <v>49</v>
      </c>
      <c r="W287" s="57"/>
      <c r="X287" s="57"/>
      <c r="Y287" t="s">
        <v>50</v>
      </c>
      <c r="Z287" s="39"/>
      <c r="AA287" s="39"/>
      <c r="AB287" t="s">
        <v>76</v>
      </c>
      <c r="AC287" s="42">
        <v>41666</v>
      </c>
      <c r="AE287" s="53" t="s">
        <v>51</v>
      </c>
      <c r="AF287" s="54" t="s">
        <v>35</v>
      </c>
      <c r="AG287" s="54"/>
      <c r="AH287" s="39" t="s">
        <v>52</v>
      </c>
      <c r="AI287" s="39" t="s">
        <v>52</v>
      </c>
    </row>
    <row r="288" spans="1:35" ht="17" x14ac:dyDescent="0.2">
      <c r="A288">
        <v>393</v>
      </c>
      <c r="B288">
        <v>608</v>
      </c>
      <c r="C288" t="s">
        <v>4528</v>
      </c>
      <c r="D288" s="39" t="s">
        <v>3383</v>
      </c>
      <c r="E288" s="39" t="s">
        <v>3384</v>
      </c>
      <c r="F288" s="39" t="s">
        <v>35</v>
      </c>
      <c r="G288" s="39" t="s">
        <v>160</v>
      </c>
      <c r="H288" s="34"/>
      <c r="I288" s="39" t="s">
        <v>3385</v>
      </c>
      <c r="J288" s="39" t="s">
        <v>35</v>
      </c>
      <c r="K288" t="s">
        <v>3386</v>
      </c>
      <c r="L288" t="s">
        <v>3387</v>
      </c>
      <c r="M288" s="6" t="s">
        <v>5978</v>
      </c>
      <c r="N288" t="s">
        <v>86</v>
      </c>
      <c r="O288" t="s">
        <v>3388</v>
      </c>
      <c r="P288" s="35" t="s">
        <v>50</v>
      </c>
      <c r="Q288" t="s">
        <v>980</v>
      </c>
      <c r="R288" t="s">
        <v>3389</v>
      </c>
      <c r="S288" s="6" t="s">
        <v>4515</v>
      </c>
      <c r="T288" s="43" t="s">
        <v>774</v>
      </c>
      <c r="U288" s="43" t="s">
        <v>324</v>
      </c>
      <c r="V288" t="s">
        <v>49</v>
      </c>
      <c r="W288" s="57"/>
      <c r="X288" s="57"/>
      <c r="Y288" t="s">
        <v>50</v>
      </c>
      <c r="Z288" s="39"/>
      <c r="AA288" s="39"/>
      <c r="AB288" t="s">
        <v>62</v>
      </c>
      <c r="AC288" s="42">
        <v>42023</v>
      </c>
      <c r="AD288" s="42">
        <v>42184</v>
      </c>
      <c r="AE288" s="53" t="s">
        <v>1477</v>
      </c>
      <c r="AF288" s="54" t="s">
        <v>35</v>
      </c>
      <c r="AG288" s="54"/>
      <c r="AH288" s="39" t="s">
        <v>52</v>
      </c>
      <c r="AI288" s="39" t="s">
        <v>70</v>
      </c>
    </row>
    <row r="289" spans="1:35" ht="17" x14ac:dyDescent="0.2">
      <c r="A289">
        <v>454</v>
      </c>
      <c r="B289">
        <v>404</v>
      </c>
      <c r="C289" t="s">
        <v>4530</v>
      </c>
      <c r="D289" s="39" t="s">
        <v>2423</v>
      </c>
      <c r="E289" s="39" t="s">
        <v>2424</v>
      </c>
      <c r="F289" s="39" t="s">
        <v>35</v>
      </c>
      <c r="G289" s="39" t="s">
        <v>36</v>
      </c>
      <c r="I289" s="39" t="s">
        <v>35</v>
      </c>
      <c r="J289" s="39" t="s">
        <v>35</v>
      </c>
      <c r="K289" t="s">
        <v>2425</v>
      </c>
      <c r="L289" t="s">
        <v>1215</v>
      </c>
      <c r="M289" s="6" t="s">
        <v>5979</v>
      </c>
      <c r="N289" t="s">
        <v>59</v>
      </c>
      <c r="O289" t="s">
        <v>49</v>
      </c>
      <c r="P289" s="35" t="s">
        <v>50</v>
      </c>
      <c r="Q289" t="s">
        <v>62</v>
      </c>
      <c r="R289" t="s">
        <v>263</v>
      </c>
      <c r="S289" s="6" t="s">
        <v>4838</v>
      </c>
      <c r="T289" s="43" t="s">
        <v>66</v>
      </c>
      <c r="U289" s="43" t="s">
        <v>238</v>
      </c>
      <c r="V289" t="s">
        <v>49</v>
      </c>
      <c r="W289" s="57"/>
      <c r="X289" s="57"/>
      <c r="Y289" t="s">
        <v>50</v>
      </c>
      <c r="Z289" s="39"/>
      <c r="AA289" s="39"/>
      <c r="AB289" t="s">
        <v>62</v>
      </c>
      <c r="AC289" s="42">
        <v>43009</v>
      </c>
      <c r="AD289" s="42">
        <v>44075</v>
      </c>
      <c r="AE289" s="53" t="s">
        <v>51</v>
      </c>
      <c r="AF289" s="54" t="s">
        <v>35</v>
      </c>
      <c r="AG289" s="54"/>
      <c r="AH289" s="39" t="s">
        <v>52</v>
      </c>
      <c r="AI289" s="39" t="s">
        <v>52</v>
      </c>
    </row>
    <row r="290" spans="1:35" ht="17" x14ac:dyDescent="0.2">
      <c r="A290">
        <v>88</v>
      </c>
      <c r="B290">
        <v>130</v>
      </c>
      <c r="C290" t="s">
        <v>4532</v>
      </c>
      <c r="D290" s="39" t="s">
        <v>985</v>
      </c>
      <c r="E290" s="39" t="s">
        <v>986</v>
      </c>
      <c r="F290" s="39" t="s">
        <v>35</v>
      </c>
      <c r="G290" s="39" t="s">
        <v>194</v>
      </c>
      <c r="I290" s="39" t="s">
        <v>987</v>
      </c>
      <c r="J290" s="39" t="s">
        <v>35</v>
      </c>
      <c r="K290" t="s">
        <v>988</v>
      </c>
      <c r="L290" s="49" t="s">
        <v>989</v>
      </c>
      <c r="M290" s="6" t="s">
        <v>5003</v>
      </c>
      <c r="N290" t="s">
        <v>86</v>
      </c>
      <c r="O290" t="s">
        <v>49</v>
      </c>
      <c r="P290" s="35" t="s">
        <v>50</v>
      </c>
      <c r="Q290" t="s">
        <v>44</v>
      </c>
      <c r="R290" t="s">
        <v>990</v>
      </c>
      <c r="S290" s="6" t="s">
        <v>6203</v>
      </c>
      <c r="T290" s="43" t="s">
        <v>991</v>
      </c>
      <c r="U290" s="43" t="s">
        <v>992</v>
      </c>
      <c r="V290" t="s">
        <v>49</v>
      </c>
      <c r="W290" s="57"/>
      <c r="X290" s="57"/>
      <c r="Y290" t="s">
        <v>50</v>
      </c>
      <c r="Z290" s="39"/>
      <c r="AA290" s="39"/>
      <c r="AB290" t="s">
        <v>44</v>
      </c>
      <c r="AC290" s="42">
        <v>34236</v>
      </c>
      <c r="AD290" s="42">
        <v>34824</v>
      </c>
      <c r="AE290" s="53" t="s">
        <v>116</v>
      </c>
      <c r="AF290" s="54" t="s">
        <v>35</v>
      </c>
      <c r="AG290" s="54"/>
      <c r="AH290" s="39" t="s">
        <v>70</v>
      </c>
      <c r="AI290" s="39" t="s">
        <v>52</v>
      </c>
    </row>
    <row r="291" spans="1:35" ht="17" x14ac:dyDescent="0.2">
      <c r="A291">
        <v>208</v>
      </c>
      <c r="B291">
        <v>10</v>
      </c>
      <c r="C291" t="s">
        <v>4534</v>
      </c>
      <c r="D291" s="39" t="s">
        <v>147</v>
      </c>
      <c r="E291" s="39" t="s">
        <v>148</v>
      </c>
      <c r="F291" s="39" t="s">
        <v>35</v>
      </c>
      <c r="G291" s="39" t="s">
        <v>82</v>
      </c>
      <c r="I291" s="39" t="s">
        <v>149</v>
      </c>
      <c r="J291" s="39" t="s">
        <v>35</v>
      </c>
      <c r="K291" t="s">
        <v>150</v>
      </c>
      <c r="L291" t="s">
        <v>151</v>
      </c>
      <c r="M291" s="6" t="s">
        <v>5980</v>
      </c>
      <c r="N291" t="s">
        <v>86</v>
      </c>
      <c r="O291" t="s">
        <v>49</v>
      </c>
      <c r="P291" s="35" t="s">
        <v>50</v>
      </c>
      <c r="Q291" t="s">
        <v>44</v>
      </c>
      <c r="R291" t="s">
        <v>152</v>
      </c>
      <c r="S291" s="6" t="s">
        <v>4526</v>
      </c>
      <c r="T291" s="43" t="s">
        <v>154</v>
      </c>
      <c r="U291" s="43" t="s">
        <v>155</v>
      </c>
      <c r="V291" t="s">
        <v>49</v>
      </c>
      <c r="W291" s="57"/>
      <c r="X291" s="57"/>
      <c r="Y291" t="s">
        <v>50</v>
      </c>
      <c r="Z291" s="39"/>
      <c r="AA291" s="39"/>
      <c r="AB291" t="s">
        <v>44</v>
      </c>
      <c r="AC291" s="42">
        <v>37387</v>
      </c>
      <c r="AD291" s="42">
        <v>38159</v>
      </c>
      <c r="AE291" s="53" t="s">
        <v>157</v>
      </c>
      <c r="AF291" s="54" t="s">
        <v>35</v>
      </c>
      <c r="AG291" s="54"/>
      <c r="AH291" s="39" t="s">
        <v>70</v>
      </c>
      <c r="AI291" s="39" t="s">
        <v>52</v>
      </c>
    </row>
    <row r="292" spans="1:35" ht="34" x14ac:dyDescent="0.2">
      <c r="A292">
        <v>256</v>
      </c>
      <c r="B292">
        <v>368</v>
      </c>
      <c r="C292" t="s">
        <v>4535</v>
      </c>
      <c r="D292" s="39" t="s">
        <v>2244</v>
      </c>
      <c r="E292" s="39" t="s">
        <v>148</v>
      </c>
      <c r="F292" s="39" t="s">
        <v>35</v>
      </c>
      <c r="G292" s="39" t="s">
        <v>82</v>
      </c>
      <c r="H292" s="34"/>
      <c r="I292" s="39" t="s">
        <v>2245</v>
      </c>
      <c r="J292" s="39" t="s">
        <v>35</v>
      </c>
      <c r="K292" t="s">
        <v>2246</v>
      </c>
      <c r="L292" t="s">
        <v>2247</v>
      </c>
      <c r="M292" s="6" t="s">
        <v>4488</v>
      </c>
      <c r="N292" s="36" t="s">
        <v>86</v>
      </c>
      <c r="P292" s="35"/>
      <c r="Q292" t="s">
        <v>35</v>
      </c>
      <c r="R292" t="s">
        <v>2248</v>
      </c>
      <c r="S292" s="6" t="s">
        <v>6204</v>
      </c>
      <c r="T292" s="43" t="s">
        <v>66</v>
      </c>
      <c r="U292" s="43" t="s">
        <v>154</v>
      </c>
      <c r="V292" t="s">
        <v>639</v>
      </c>
      <c r="W292" s="57"/>
      <c r="X292" s="57"/>
      <c r="Y292" t="s">
        <v>640</v>
      </c>
      <c r="Z292" s="39"/>
      <c r="AA292" s="39"/>
      <c r="AB292" t="s">
        <v>200</v>
      </c>
      <c r="AC292" s="42">
        <v>38356</v>
      </c>
      <c r="AD292" s="42">
        <v>38860</v>
      </c>
      <c r="AE292" s="53" t="s">
        <v>51</v>
      </c>
      <c r="AF292" s="54" t="s">
        <v>35</v>
      </c>
      <c r="AG292" s="54"/>
      <c r="AH292" s="39" t="s">
        <v>52</v>
      </c>
      <c r="AI292" s="39" t="s">
        <v>52</v>
      </c>
    </row>
    <row r="293" spans="1:35" ht="17" x14ac:dyDescent="0.2">
      <c r="A293">
        <v>160</v>
      </c>
      <c r="B293">
        <v>156</v>
      </c>
      <c r="C293" t="s">
        <v>4538</v>
      </c>
      <c r="D293" s="39" t="s">
        <v>1141</v>
      </c>
      <c r="E293" s="39" t="s">
        <v>1142</v>
      </c>
      <c r="F293" s="39" t="s">
        <v>35</v>
      </c>
      <c r="G293" s="39" t="s">
        <v>205</v>
      </c>
      <c r="I293" s="39" t="s">
        <v>1143</v>
      </c>
      <c r="J293" s="39" t="s">
        <v>35</v>
      </c>
      <c r="K293" t="s">
        <v>1144</v>
      </c>
      <c r="L293" s="49" t="s">
        <v>1145</v>
      </c>
      <c r="M293" s="6" t="s">
        <v>3501</v>
      </c>
      <c r="N293" t="s">
        <v>41</v>
      </c>
      <c r="O293" t="s">
        <v>49</v>
      </c>
      <c r="P293" s="35" t="s">
        <v>50</v>
      </c>
      <c r="Q293" t="s">
        <v>35</v>
      </c>
      <c r="R293" t="s">
        <v>1146</v>
      </c>
      <c r="S293" s="6" t="s">
        <v>6205</v>
      </c>
      <c r="T293" s="43" t="s">
        <v>65</v>
      </c>
      <c r="U293" s="43" t="s">
        <v>90</v>
      </c>
      <c r="W293" s="57"/>
      <c r="X293" s="57"/>
      <c r="Z293" s="39"/>
      <c r="AA293" s="39"/>
      <c r="AB293" t="s">
        <v>115</v>
      </c>
      <c r="AC293" s="42">
        <v>36655</v>
      </c>
      <c r="AD293" s="42">
        <v>37313</v>
      </c>
      <c r="AE293" s="53" t="s">
        <v>51</v>
      </c>
      <c r="AF293" s="54" t="s">
        <v>35</v>
      </c>
      <c r="AG293" s="54"/>
      <c r="AH293" s="39" t="s">
        <v>52</v>
      </c>
      <c r="AI293" s="39" t="s">
        <v>52</v>
      </c>
    </row>
    <row r="294" spans="1:35" ht="17" x14ac:dyDescent="0.2">
      <c r="A294">
        <v>464</v>
      </c>
      <c r="B294">
        <v>293</v>
      </c>
      <c r="C294" t="s">
        <v>4543</v>
      </c>
      <c r="D294" s="39" t="s">
        <v>1853</v>
      </c>
      <c r="E294" s="39" t="s">
        <v>1854</v>
      </c>
      <c r="F294" s="39" t="s">
        <v>35</v>
      </c>
      <c r="G294" s="39" t="s">
        <v>36</v>
      </c>
      <c r="I294" s="39" t="s">
        <v>1855</v>
      </c>
      <c r="J294" s="39" t="s">
        <v>1856</v>
      </c>
      <c r="K294" t="s">
        <v>1857</v>
      </c>
      <c r="L294" t="s">
        <v>1858</v>
      </c>
      <c r="M294" s="6" t="s">
        <v>4533</v>
      </c>
      <c r="N294" t="s">
        <v>97</v>
      </c>
      <c r="O294" t="s">
        <v>60</v>
      </c>
      <c r="P294" s="35" t="s">
        <v>61</v>
      </c>
      <c r="Q294" t="s">
        <v>44</v>
      </c>
      <c r="R294" t="s">
        <v>657</v>
      </c>
      <c r="S294" s="6" t="s">
        <v>3493</v>
      </c>
      <c r="T294" s="43" t="s">
        <v>729</v>
      </c>
      <c r="U294" s="43" t="s">
        <v>494</v>
      </c>
      <c r="V294" t="s">
        <v>49</v>
      </c>
      <c r="W294" s="57"/>
      <c r="X294" s="57"/>
      <c r="Y294" t="s">
        <v>50</v>
      </c>
      <c r="Z294" s="39"/>
      <c r="AA294" s="39"/>
      <c r="AB294" t="s">
        <v>44</v>
      </c>
      <c r="AC294" s="42">
        <v>43255</v>
      </c>
      <c r="AD294" s="42">
        <v>44347</v>
      </c>
      <c r="AE294" s="53"/>
      <c r="AF294" s="54" t="s">
        <v>35</v>
      </c>
      <c r="AG294" s="54"/>
      <c r="AH294" s="39" t="s">
        <v>52</v>
      </c>
      <c r="AI294" s="39" t="s">
        <v>52</v>
      </c>
    </row>
    <row r="295" spans="1:35" ht="17" x14ac:dyDescent="0.2">
      <c r="A295">
        <v>166</v>
      </c>
      <c r="B295">
        <v>589</v>
      </c>
      <c r="C295" t="s">
        <v>4546</v>
      </c>
      <c r="D295" s="39" t="s">
        <v>3295</v>
      </c>
      <c r="E295" s="39" t="s">
        <v>1854</v>
      </c>
      <c r="F295" s="39" t="s">
        <v>35</v>
      </c>
      <c r="G295" s="39" t="s">
        <v>205</v>
      </c>
      <c r="H295" s="34"/>
      <c r="I295" s="39" t="s">
        <v>3296</v>
      </c>
      <c r="J295" s="39" t="s">
        <v>35</v>
      </c>
      <c r="K295" t="s">
        <v>3297</v>
      </c>
      <c r="L295" t="s">
        <v>3298</v>
      </c>
      <c r="M295" s="6" t="s">
        <v>5119</v>
      </c>
      <c r="N295" t="s">
        <v>86</v>
      </c>
      <c r="O295" t="s">
        <v>49</v>
      </c>
      <c r="P295" s="35" t="s">
        <v>50</v>
      </c>
      <c r="Q295" t="s">
        <v>44</v>
      </c>
      <c r="R295" t="s">
        <v>3299</v>
      </c>
      <c r="S295" s="6" t="s">
        <v>6206</v>
      </c>
      <c r="T295" s="43" t="s">
        <v>202</v>
      </c>
      <c r="U295" s="43" t="s">
        <v>2805</v>
      </c>
      <c r="W295" s="57"/>
      <c r="X295" s="57"/>
      <c r="Z295" s="39"/>
      <c r="AA295" s="39"/>
      <c r="AB295" t="s">
        <v>44</v>
      </c>
      <c r="AC295" s="42">
        <v>36655</v>
      </c>
      <c r="AE295" s="53" t="s">
        <v>51</v>
      </c>
      <c r="AF295" s="54" t="s">
        <v>35</v>
      </c>
      <c r="AG295" s="54"/>
      <c r="AH295" s="39" t="s">
        <v>52</v>
      </c>
      <c r="AI295" s="39" t="s">
        <v>52</v>
      </c>
    </row>
    <row r="296" spans="1:35" ht="17" customHeight="1" x14ac:dyDescent="0.2">
      <c r="A296">
        <v>216</v>
      </c>
      <c r="B296">
        <v>4</v>
      </c>
      <c r="C296" t="s">
        <v>4551</v>
      </c>
      <c r="D296" s="39" t="s">
        <v>80</v>
      </c>
      <c r="E296" s="39" t="s">
        <v>81</v>
      </c>
      <c r="F296" s="39" t="s">
        <v>35</v>
      </c>
      <c r="G296" s="39" t="s">
        <v>82</v>
      </c>
      <c r="I296" s="39" t="s">
        <v>83</v>
      </c>
      <c r="J296" s="39" t="s">
        <v>35</v>
      </c>
      <c r="K296" t="s">
        <v>84</v>
      </c>
      <c r="L296" t="s">
        <v>85</v>
      </c>
      <c r="M296" s="6" t="s">
        <v>5981</v>
      </c>
      <c r="N296" t="s">
        <v>86</v>
      </c>
      <c r="O296" t="s">
        <v>49</v>
      </c>
      <c r="P296" s="35" t="s">
        <v>50</v>
      </c>
      <c r="Q296" t="s">
        <v>87</v>
      </c>
      <c r="R296" t="s">
        <v>88</v>
      </c>
      <c r="S296" s="6" t="s">
        <v>5890</v>
      </c>
      <c r="T296" s="43" t="s">
        <v>89</v>
      </c>
      <c r="U296" s="43" t="s">
        <v>90</v>
      </c>
      <c r="V296" t="s">
        <v>49</v>
      </c>
      <c r="W296" s="57"/>
      <c r="X296" s="57"/>
      <c r="Y296" t="s">
        <v>50</v>
      </c>
      <c r="Z296" s="39"/>
      <c r="AA296" s="39"/>
      <c r="AB296" t="s">
        <v>87</v>
      </c>
      <c r="AC296" s="42">
        <v>37642</v>
      </c>
      <c r="AD296" s="42">
        <v>38007</v>
      </c>
      <c r="AE296" s="53" t="s">
        <v>51</v>
      </c>
      <c r="AF296" s="54" t="s">
        <v>35</v>
      </c>
      <c r="AG296" s="54"/>
      <c r="AH296" s="39" t="s">
        <v>52</v>
      </c>
      <c r="AI296" s="39" t="s">
        <v>52</v>
      </c>
    </row>
    <row r="297" spans="1:35" ht="17" x14ac:dyDescent="0.2">
      <c r="A297">
        <v>267</v>
      </c>
      <c r="B297">
        <v>224</v>
      </c>
      <c r="C297" t="s">
        <v>4557</v>
      </c>
      <c r="D297" s="39" t="s">
        <v>1510</v>
      </c>
      <c r="E297" s="39" t="s">
        <v>1511</v>
      </c>
      <c r="F297" s="39" t="s">
        <v>35</v>
      </c>
      <c r="G297" s="39" t="s">
        <v>82</v>
      </c>
      <c r="I297" s="39" t="s">
        <v>1512</v>
      </c>
      <c r="J297" s="39" t="s">
        <v>35</v>
      </c>
      <c r="K297" t="s">
        <v>1513</v>
      </c>
      <c r="L297" t="s">
        <v>1514</v>
      </c>
      <c r="M297" s="6" t="s">
        <v>5982</v>
      </c>
      <c r="N297" s="36" t="s">
        <v>86</v>
      </c>
      <c r="O297" t="s">
        <v>1515</v>
      </c>
      <c r="P297" s="35" t="s">
        <v>640</v>
      </c>
      <c r="Q297" t="s">
        <v>911</v>
      </c>
      <c r="R297" t="s">
        <v>1516</v>
      </c>
      <c r="S297" s="6" t="s">
        <v>4542</v>
      </c>
      <c r="T297" s="43" t="s">
        <v>337</v>
      </c>
      <c r="U297" s="43" t="s">
        <v>1139</v>
      </c>
      <c r="V297" t="s">
        <v>1517</v>
      </c>
      <c r="W297" s="57"/>
      <c r="X297" s="57"/>
      <c r="Y297" t="s">
        <v>640</v>
      </c>
      <c r="Z297" s="39"/>
      <c r="AA297" s="39"/>
      <c r="AB297" t="s">
        <v>180</v>
      </c>
      <c r="AC297" s="42">
        <v>38538</v>
      </c>
      <c r="AD297" s="42">
        <v>39882</v>
      </c>
      <c r="AE297" s="53" t="s">
        <v>68</v>
      </c>
      <c r="AF297" s="54" t="s">
        <v>35</v>
      </c>
      <c r="AG297" s="54"/>
      <c r="AH297" s="39" t="s">
        <v>70</v>
      </c>
      <c r="AI297" s="39" t="s">
        <v>52</v>
      </c>
    </row>
    <row r="298" spans="1:35" ht="17" x14ac:dyDescent="0.2">
      <c r="A298">
        <v>427</v>
      </c>
      <c r="B298">
        <v>198</v>
      </c>
      <c r="C298" t="s">
        <v>4563</v>
      </c>
      <c r="D298" s="39" t="s">
        <v>1360</v>
      </c>
      <c r="E298" s="39" t="s">
        <v>1361</v>
      </c>
      <c r="F298" s="39" t="s">
        <v>35</v>
      </c>
      <c r="G298" s="39" t="s">
        <v>36</v>
      </c>
      <c r="I298" s="39" t="s">
        <v>1362</v>
      </c>
      <c r="J298" s="39" t="s">
        <v>35</v>
      </c>
      <c r="K298" t="s">
        <v>1363</v>
      </c>
      <c r="L298" t="s">
        <v>39</v>
      </c>
      <c r="M298" s="6" t="s">
        <v>3936</v>
      </c>
      <c r="N298" t="s">
        <v>97</v>
      </c>
      <c r="O298" t="s">
        <v>190</v>
      </c>
      <c r="P298" s="35" t="s">
        <v>191</v>
      </c>
      <c r="Q298" t="s">
        <v>44</v>
      </c>
      <c r="R298" t="s">
        <v>611</v>
      </c>
      <c r="S298" s="6" t="s">
        <v>3833</v>
      </c>
      <c r="T298" s="43" t="s">
        <v>528</v>
      </c>
      <c r="U298" s="43" t="s">
        <v>1171</v>
      </c>
      <c r="V298" t="s">
        <v>42</v>
      </c>
      <c r="W298" s="57"/>
      <c r="X298" s="57"/>
      <c r="Y298" t="s">
        <v>43</v>
      </c>
      <c r="Z298" s="39"/>
      <c r="AA298" s="39"/>
      <c r="AB298" t="s">
        <v>44</v>
      </c>
      <c r="AC298" s="42">
        <v>42751</v>
      </c>
      <c r="AD298" s="42">
        <v>43731</v>
      </c>
      <c r="AE298" s="53" t="s">
        <v>51</v>
      </c>
      <c r="AF298" s="54" t="s">
        <v>35</v>
      </c>
      <c r="AG298" s="54"/>
      <c r="AH298" s="39" t="s">
        <v>52</v>
      </c>
      <c r="AI298" s="39" t="s">
        <v>52</v>
      </c>
    </row>
    <row r="299" spans="1:35" ht="17" x14ac:dyDescent="0.2">
      <c r="A299">
        <v>539</v>
      </c>
      <c r="B299">
        <v>477</v>
      </c>
      <c r="C299" t="s">
        <v>4570</v>
      </c>
      <c r="D299" s="39" t="s">
        <v>2753</v>
      </c>
      <c r="E299" s="39" t="s">
        <v>1361</v>
      </c>
      <c r="F299" s="39" t="s">
        <v>35</v>
      </c>
      <c r="G299" s="39" t="s">
        <v>36</v>
      </c>
      <c r="H299" s="34"/>
      <c r="I299" s="39" t="s">
        <v>2754</v>
      </c>
      <c r="J299" s="39" t="s">
        <v>35</v>
      </c>
      <c r="K299" t="s">
        <v>2755</v>
      </c>
      <c r="L299" t="s">
        <v>2756</v>
      </c>
      <c r="M299" s="6" t="s">
        <v>5983</v>
      </c>
      <c r="N299" t="s">
        <v>97</v>
      </c>
      <c r="O299" t="s">
        <v>49</v>
      </c>
      <c r="P299" s="35" t="s">
        <v>50</v>
      </c>
      <c r="Q299" t="s">
        <v>44</v>
      </c>
      <c r="R299" t="s">
        <v>864</v>
      </c>
      <c r="S299" s="6" t="s">
        <v>4550</v>
      </c>
      <c r="T299" s="43" t="s">
        <v>224</v>
      </c>
      <c r="U299" s="43" t="s">
        <v>954</v>
      </c>
      <c r="V299" t="s">
        <v>49</v>
      </c>
      <c r="W299" s="57"/>
      <c r="X299" s="57"/>
      <c r="Y299" t="s">
        <v>50</v>
      </c>
      <c r="Z299" s="39"/>
      <c r="AA299" s="39"/>
      <c r="AB299" t="s">
        <v>62</v>
      </c>
      <c r="AC299" s="42">
        <v>43891</v>
      </c>
      <c r="AD299" s="42">
        <v>44256</v>
      </c>
      <c r="AE299" s="53" t="s">
        <v>559</v>
      </c>
      <c r="AF299" s="54" t="s">
        <v>35</v>
      </c>
      <c r="AG299" s="54"/>
      <c r="AH299" s="39" t="s">
        <v>52</v>
      </c>
      <c r="AI299" s="39" t="s">
        <v>70</v>
      </c>
    </row>
    <row r="300" spans="1:35" ht="17" x14ac:dyDescent="0.2">
      <c r="A300">
        <v>327</v>
      </c>
      <c r="B300">
        <v>93</v>
      </c>
      <c r="C300" t="s">
        <v>3887</v>
      </c>
      <c r="D300" s="39" t="s">
        <v>731</v>
      </c>
      <c r="E300" s="39" t="s">
        <v>732</v>
      </c>
      <c r="F300" s="39" t="s">
        <v>35</v>
      </c>
      <c r="G300" s="39" t="s">
        <v>55</v>
      </c>
      <c r="H300" s="34"/>
      <c r="I300" s="39" t="s">
        <v>109</v>
      </c>
      <c r="J300" s="39" t="s">
        <v>35</v>
      </c>
      <c r="L300" s="49"/>
      <c r="M300" s="6" t="s">
        <v>5984</v>
      </c>
      <c r="P300" s="35"/>
      <c r="Q300" t="s">
        <v>35</v>
      </c>
      <c r="S300" s="6" t="s">
        <v>6207</v>
      </c>
      <c r="T300" s="43" t="s">
        <v>35</v>
      </c>
      <c r="U300" s="43" t="s">
        <v>35</v>
      </c>
      <c r="W300" s="57"/>
      <c r="X300" s="57"/>
      <c r="Z300" s="39"/>
      <c r="AA300" s="39"/>
      <c r="AB300" t="s">
        <v>35</v>
      </c>
      <c r="AC300" s="42">
        <v>40190</v>
      </c>
      <c r="AD300" s="42">
        <v>40288</v>
      </c>
      <c r="AE300" s="53" t="s">
        <v>239</v>
      </c>
      <c r="AF300" s="54" t="s">
        <v>35</v>
      </c>
      <c r="AG300" s="54"/>
      <c r="AH300" s="39" t="s">
        <v>70</v>
      </c>
      <c r="AI300" s="39" t="s">
        <v>52</v>
      </c>
    </row>
    <row r="301" spans="1:35" ht="34" x14ac:dyDescent="0.2">
      <c r="A301">
        <v>557</v>
      </c>
      <c r="B301">
        <v>164</v>
      </c>
      <c r="C301" t="s">
        <v>5782</v>
      </c>
      <c r="D301" s="39" t="s">
        <v>1177</v>
      </c>
      <c r="E301" s="39" t="s">
        <v>732</v>
      </c>
      <c r="F301" s="39" t="s">
        <v>35</v>
      </c>
      <c r="G301" s="39" t="s">
        <v>259</v>
      </c>
      <c r="I301" s="39" t="s">
        <v>1178</v>
      </c>
      <c r="J301" s="39" t="s">
        <v>35</v>
      </c>
      <c r="K301" t="s">
        <v>1179</v>
      </c>
      <c r="L301" s="49" t="s">
        <v>1180</v>
      </c>
      <c r="M301" s="6" t="s">
        <v>5985</v>
      </c>
      <c r="N301" t="s">
        <v>131</v>
      </c>
      <c r="O301" t="s">
        <v>42</v>
      </c>
      <c r="P301" s="35" t="s">
        <v>43</v>
      </c>
      <c r="Q301" t="s">
        <v>44</v>
      </c>
      <c r="R301" t="s">
        <v>1181</v>
      </c>
      <c r="S301" s="6" t="s">
        <v>6208</v>
      </c>
      <c r="T301" s="43" t="s">
        <v>494</v>
      </c>
      <c r="U301" s="43" t="s">
        <v>246</v>
      </c>
      <c r="V301" t="s">
        <v>49</v>
      </c>
      <c r="W301" s="57"/>
      <c r="X301" s="57"/>
      <c r="Y301" t="s">
        <v>50</v>
      </c>
      <c r="Z301" s="39"/>
      <c r="AA301" s="39"/>
      <c r="AB301" t="s">
        <v>44</v>
      </c>
      <c r="AC301" s="42">
        <v>44199</v>
      </c>
      <c r="AD301" s="42">
        <v>44930</v>
      </c>
      <c r="AE301" s="53" t="s">
        <v>51</v>
      </c>
      <c r="AF301" s="54" t="s">
        <v>35</v>
      </c>
      <c r="AG301" s="54"/>
      <c r="AH301" s="39" t="s">
        <v>52</v>
      </c>
      <c r="AI301" s="39" t="s">
        <v>52</v>
      </c>
    </row>
    <row r="302" spans="1:35" ht="17" x14ac:dyDescent="0.2">
      <c r="A302">
        <v>275</v>
      </c>
      <c r="B302">
        <v>269</v>
      </c>
      <c r="C302" t="s">
        <v>4573</v>
      </c>
      <c r="D302" s="39" t="s">
        <v>1740</v>
      </c>
      <c r="E302" s="39" t="s">
        <v>732</v>
      </c>
      <c r="F302" s="39" t="s">
        <v>35</v>
      </c>
      <c r="G302" s="39" t="s">
        <v>55</v>
      </c>
      <c r="I302" s="39" t="s">
        <v>1741</v>
      </c>
      <c r="J302" s="39" t="s">
        <v>35</v>
      </c>
      <c r="K302" t="s">
        <v>1742</v>
      </c>
      <c r="L302" t="s">
        <v>1743</v>
      </c>
      <c r="M302" s="6" t="s">
        <v>79</v>
      </c>
      <c r="N302" t="s">
        <v>41</v>
      </c>
      <c r="O302" t="s">
        <v>42</v>
      </c>
      <c r="P302" s="35" t="s">
        <v>43</v>
      </c>
      <c r="Q302" t="s">
        <v>44</v>
      </c>
      <c r="R302" t="s">
        <v>1744</v>
      </c>
      <c r="S302" s="6" t="s">
        <v>3476</v>
      </c>
      <c r="T302" s="43" t="s">
        <v>114</v>
      </c>
      <c r="U302" s="43" t="s">
        <v>1106</v>
      </c>
      <c r="V302" t="s">
        <v>42</v>
      </c>
      <c r="W302" s="57"/>
      <c r="X302" s="57"/>
      <c r="Y302" t="s">
        <v>43</v>
      </c>
      <c r="Z302" s="39"/>
      <c r="AA302" s="39"/>
      <c r="AB302" t="s">
        <v>44</v>
      </c>
      <c r="AC302" s="42">
        <v>38732</v>
      </c>
      <c r="AD302" s="42">
        <v>39155</v>
      </c>
      <c r="AE302" s="53" t="s">
        <v>68</v>
      </c>
      <c r="AF302" s="54" t="s">
        <v>35</v>
      </c>
      <c r="AG302" s="54"/>
      <c r="AH302" s="39" t="s">
        <v>70</v>
      </c>
      <c r="AI302" s="39" t="s">
        <v>52</v>
      </c>
    </row>
    <row r="303" spans="1:35" ht="17" x14ac:dyDescent="0.2">
      <c r="A303">
        <v>48</v>
      </c>
      <c r="B303">
        <v>445</v>
      </c>
      <c r="C303" t="s">
        <v>4579</v>
      </c>
      <c r="D303" s="39" t="s">
        <v>2608</v>
      </c>
      <c r="E303" s="39" t="s">
        <v>732</v>
      </c>
      <c r="G303" s="39" t="s">
        <v>194</v>
      </c>
      <c r="H303" s="34"/>
      <c r="I303" s="39" t="s">
        <v>35</v>
      </c>
      <c r="J303" s="39" t="s">
        <v>35</v>
      </c>
      <c r="M303" s="6" t="s">
        <v>212</v>
      </c>
      <c r="P303" s="35"/>
      <c r="Q303" t="s">
        <v>35</v>
      </c>
      <c r="S303" s="6" t="s">
        <v>6050</v>
      </c>
      <c r="T303" s="43" t="s">
        <v>2609</v>
      </c>
      <c r="U303" s="43" t="s">
        <v>703</v>
      </c>
      <c r="V303" t="s">
        <v>49</v>
      </c>
      <c r="W303" s="57"/>
      <c r="X303" s="57"/>
      <c r="Y303" t="s">
        <v>50</v>
      </c>
      <c r="Z303" s="39"/>
      <c r="AA303" s="39"/>
      <c r="AB303" t="s">
        <v>62</v>
      </c>
      <c r="AC303" s="42">
        <v>33240</v>
      </c>
      <c r="AD303" s="42">
        <v>34233</v>
      </c>
      <c r="AE303" s="53" t="s">
        <v>51</v>
      </c>
      <c r="AF303" s="54" t="s">
        <v>35</v>
      </c>
      <c r="AG303" s="54"/>
      <c r="AH303" s="39" t="s">
        <v>52</v>
      </c>
      <c r="AI303" s="39" t="s">
        <v>52</v>
      </c>
    </row>
    <row r="304" spans="1:35" ht="17" x14ac:dyDescent="0.2">
      <c r="A304">
        <v>231</v>
      </c>
      <c r="B304">
        <v>153</v>
      </c>
      <c r="C304" t="s">
        <v>4582</v>
      </c>
      <c r="D304" s="39" t="s">
        <v>1119</v>
      </c>
      <c r="E304" s="39" t="s">
        <v>1120</v>
      </c>
      <c r="F304" s="39" t="s">
        <v>35</v>
      </c>
      <c r="G304" s="39" t="s">
        <v>82</v>
      </c>
      <c r="I304" s="39" t="s">
        <v>1121</v>
      </c>
      <c r="J304" s="39" t="s">
        <v>35</v>
      </c>
      <c r="K304" t="s">
        <v>1122</v>
      </c>
      <c r="L304" s="49" t="s">
        <v>1123</v>
      </c>
      <c r="M304" s="6" t="s">
        <v>35</v>
      </c>
      <c r="N304" t="s">
        <v>86</v>
      </c>
      <c r="O304" t="s">
        <v>399</v>
      </c>
      <c r="P304" s="35" t="s">
        <v>50</v>
      </c>
      <c r="Q304" t="s">
        <v>44</v>
      </c>
      <c r="R304" t="s">
        <v>1124</v>
      </c>
      <c r="S304" s="6" t="s">
        <v>35</v>
      </c>
      <c r="T304" s="43" t="s">
        <v>1125</v>
      </c>
      <c r="U304" s="43" t="s">
        <v>755</v>
      </c>
      <c r="V304" t="s">
        <v>49</v>
      </c>
      <c r="W304" s="57"/>
      <c r="X304" s="57"/>
      <c r="Y304" t="s">
        <v>50</v>
      </c>
      <c r="Z304" s="39"/>
      <c r="AA304" s="39"/>
      <c r="AB304" t="s">
        <v>44</v>
      </c>
      <c r="AC304" s="42">
        <v>37797</v>
      </c>
      <c r="AD304" s="42">
        <v>38007</v>
      </c>
      <c r="AE304" s="53" t="s">
        <v>51</v>
      </c>
      <c r="AF304" s="54" t="s">
        <v>35</v>
      </c>
      <c r="AG304" s="54"/>
      <c r="AH304" s="39" t="s">
        <v>52</v>
      </c>
      <c r="AI304" s="39" t="s">
        <v>52</v>
      </c>
    </row>
    <row r="305" spans="1:35" ht="17" x14ac:dyDescent="0.2">
      <c r="A305">
        <v>468</v>
      </c>
      <c r="B305">
        <v>108</v>
      </c>
      <c r="C305" t="s">
        <v>4585</v>
      </c>
      <c r="D305" s="39" t="s">
        <v>831</v>
      </c>
      <c r="E305" s="39" t="s">
        <v>832</v>
      </c>
      <c r="F305" s="39" t="s">
        <v>35</v>
      </c>
      <c r="G305" s="39" t="s">
        <v>36</v>
      </c>
      <c r="I305" s="39" t="s">
        <v>833</v>
      </c>
      <c r="J305" s="39" t="s">
        <v>834</v>
      </c>
      <c r="K305" t="s">
        <v>835</v>
      </c>
      <c r="L305" s="49" t="s">
        <v>631</v>
      </c>
      <c r="M305" s="6" t="s">
        <v>3471</v>
      </c>
      <c r="N305" t="s">
        <v>97</v>
      </c>
      <c r="O305" t="s">
        <v>836</v>
      </c>
      <c r="P305" s="35" t="s">
        <v>356</v>
      </c>
      <c r="Q305" t="s">
        <v>62</v>
      </c>
      <c r="R305" t="s">
        <v>837</v>
      </c>
      <c r="S305" s="6" t="s">
        <v>6209</v>
      </c>
      <c r="T305" s="43" t="s">
        <v>774</v>
      </c>
      <c r="U305" s="43" t="s">
        <v>838</v>
      </c>
      <c r="V305" t="s">
        <v>839</v>
      </c>
      <c r="W305" s="57"/>
      <c r="X305" s="57"/>
      <c r="Y305" t="s">
        <v>354</v>
      </c>
      <c r="Z305" s="39"/>
      <c r="AA305" s="39"/>
      <c r="AB305" t="s">
        <v>44</v>
      </c>
      <c r="AC305" s="42">
        <v>43255</v>
      </c>
      <c r="AD305" s="42">
        <v>44347</v>
      </c>
      <c r="AE305" s="53" t="s">
        <v>840</v>
      </c>
      <c r="AF305" s="54" t="s">
        <v>35</v>
      </c>
      <c r="AG305" s="54"/>
      <c r="AH305" s="39" t="s">
        <v>52</v>
      </c>
      <c r="AI305" s="39" t="s">
        <v>70</v>
      </c>
    </row>
    <row r="306" spans="1:35" ht="17" x14ac:dyDescent="0.2">
      <c r="A306">
        <v>320</v>
      </c>
      <c r="B306">
        <v>354</v>
      </c>
      <c r="C306" t="s">
        <v>4587</v>
      </c>
      <c r="D306" s="39" t="s">
        <v>2173</v>
      </c>
      <c r="E306" s="39" t="s">
        <v>832</v>
      </c>
      <c r="F306" s="39" t="s">
        <v>35</v>
      </c>
      <c r="G306" s="39" t="s">
        <v>55</v>
      </c>
      <c r="I306" s="39" t="s">
        <v>2174</v>
      </c>
      <c r="J306" s="39" t="s">
        <v>35</v>
      </c>
      <c r="K306" t="s">
        <v>2175</v>
      </c>
      <c r="L306" t="s">
        <v>2176</v>
      </c>
      <c r="M306" s="6" t="s">
        <v>5986</v>
      </c>
      <c r="N306" t="s">
        <v>86</v>
      </c>
      <c r="O306" t="s">
        <v>49</v>
      </c>
      <c r="P306" s="35" t="s">
        <v>50</v>
      </c>
      <c r="Q306" t="s">
        <v>76</v>
      </c>
      <c r="R306" t="s">
        <v>75</v>
      </c>
      <c r="S306" s="6" t="s">
        <v>6210</v>
      </c>
      <c r="T306" s="43" t="s">
        <v>1694</v>
      </c>
      <c r="U306" s="43" t="s">
        <v>817</v>
      </c>
      <c r="V306" t="s">
        <v>49</v>
      </c>
      <c r="W306" s="57"/>
      <c r="X306" s="57"/>
      <c r="Y306" t="s">
        <v>50</v>
      </c>
      <c r="Z306" s="39"/>
      <c r="AA306" s="39"/>
      <c r="AB306" t="s">
        <v>76</v>
      </c>
      <c r="AC306" s="42">
        <v>39834</v>
      </c>
      <c r="AD306" s="42">
        <v>40330</v>
      </c>
      <c r="AE306" s="53" t="s">
        <v>239</v>
      </c>
      <c r="AF306" s="54" t="s">
        <v>35</v>
      </c>
      <c r="AG306" s="54"/>
      <c r="AH306" s="39" t="s">
        <v>70</v>
      </c>
      <c r="AI306" s="39" t="s">
        <v>52</v>
      </c>
    </row>
    <row r="307" spans="1:35" ht="17" x14ac:dyDescent="0.2">
      <c r="A307">
        <v>513</v>
      </c>
      <c r="B307">
        <v>363</v>
      </c>
      <c r="C307" t="s">
        <v>4589</v>
      </c>
      <c r="D307" s="39" t="s">
        <v>2216</v>
      </c>
      <c r="E307" s="39" t="s">
        <v>832</v>
      </c>
      <c r="F307" s="39" t="s">
        <v>35</v>
      </c>
      <c r="G307" s="39" t="s">
        <v>36</v>
      </c>
      <c r="I307" s="39" t="s">
        <v>2217</v>
      </c>
      <c r="J307" s="39" t="s">
        <v>2218</v>
      </c>
      <c r="K307" t="s">
        <v>2219</v>
      </c>
      <c r="L307" t="s">
        <v>2220</v>
      </c>
      <c r="M307" s="6" t="s">
        <v>35</v>
      </c>
      <c r="N307" t="s">
        <v>97</v>
      </c>
      <c r="O307" t="s">
        <v>2221</v>
      </c>
      <c r="P307" s="35" t="s">
        <v>2222</v>
      </c>
      <c r="Q307" t="s">
        <v>44</v>
      </c>
      <c r="R307" t="s">
        <v>355</v>
      </c>
      <c r="S307" s="6" t="s">
        <v>35</v>
      </c>
      <c r="T307" s="43" t="s">
        <v>246</v>
      </c>
      <c r="U307" s="43" t="s">
        <v>246</v>
      </c>
      <c r="V307" t="s">
        <v>49</v>
      </c>
      <c r="W307" s="57"/>
      <c r="X307" s="57"/>
      <c r="Y307" t="s">
        <v>50</v>
      </c>
      <c r="Z307" s="39"/>
      <c r="AA307" s="39"/>
      <c r="AB307" t="s">
        <v>44</v>
      </c>
      <c r="AC307" s="42">
        <v>43478</v>
      </c>
      <c r="AD307" s="42">
        <v>44348</v>
      </c>
      <c r="AE307" s="53" t="s">
        <v>51</v>
      </c>
      <c r="AF307" s="54" t="s">
        <v>35</v>
      </c>
      <c r="AG307" s="54"/>
      <c r="AH307" s="39" t="s">
        <v>52</v>
      </c>
      <c r="AI307" s="39" t="s">
        <v>52</v>
      </c>
    </row>
    <row r="308" spans="1:35" ht="17" customHeight="1" x14ac:dyDescent="0.2">
      <c r="A308" t="s">
        <v>35</v>
      </c>
      <c r="B308">
        <v>447</v>
      </c>
      <c r="C308" t="s">
        <v>5817</v>
      </c>
      <c r="D308" s="39" t="s">
        <v>2615</v>
      </c>
      <c r="E308" s="39" t="s">
        <v>832</v>
      </c>
      <c r="F308" s="39" t="s">
        <v>349</v>
      </c>
      <c r="G308" s="39" t="s">
        <v>259</v>
      </c>
      <c r="I308" s="39" t="s">
        <v>2616</v>
      </c>
      <c r="J308" s="39" t="s">
        <v>35</v>
      </c>
      <c r="K308" t="s">
        <v>2617</v>
      </c>
      <c r="L308" t="s">
        <v>152</v>
      </c>
      <c r="M308" s="6" t="s">
        <v>5987</v>
      </c>
      <c r="N308" t="s">
        <v>131</v>
      </c>
      <c r="O308" t="s">
        <v>42</v>
      </c>
      <c r="P308" s="35" t="s">
        <v>43</v>
      </c>
      <c r="Q308" t="s">
        <v>44</v>
      </c>
      <c r="R308" t="s">
        <v>2070</v>
      </c>
      <c r="S308" s="6" t="s">
        <v>6211</v>
      </c>
      <c r="T308" s="43" t="s">
        <v>246</v>
      </c>
      <c r="U308" s="43" t="s">
        <v>246</v>
      </c>
      <c r="V308" t="s">
        <v>49</v>
      </c>
      <c r="W308" s="57"/>
      <c r="X308" s="57"/>
      <c r="Y308" t="s">
        <v>50</v>
      </c>
      <c r="Z308" s="39"/>
      <c r="AA308" s="39"/>
      <c r="AB308" t="s">
        <v>44</v>
      </c>
      <c r="AE308" s="53" t="s">
        <v>51</v>
      </c>
      <c r="AF308" s="54" t="s">
        <v>35</v>
      </c>
      <c r="AG308" s="54"/>
      <c r="AH308" s="39" t="s">
        <v>52</v>
      </c>
      <c r="AI308" s="39" t="s">
        <v>52</v>
      </c>
    </row>
    <row r="309" spans="1:35" ht="17" x14ac:dyDescent="0.2">
      <c r="A309">
        <v>96</v>
      </c>
      <c r="B309">
        <v>461</v>
      </c>
      <c r="C309" t="s">
        <v>4593</v>
      </c>
      <c r="D309" s="39" t="s">
        <v>2677</v>
      </c>
      <c r="E309" s="39" t="s">
        <v>832</v>
      </c>
      <c r="F309" s="39" t="s">
        <v>35</v>
      </c>
      <c r="G309" s="39" t="s">
        <v>194</v>
      </c>
      <c r="I309" s="39" t="s">
        <v>2678</v>
      </c>
      <c r="J309" s="39" t="s">
        <v>35</v>
      </c>
      <c r="K309" t="s">
        <v>2679</v>
      </c>
      <c r="L309" t="s">
        <v>2680</v>
      </c>
      <c r="M309" s="6" t="s">
        <v>5988</v>
      </c>
      <c r="N309" t="s">
        <v>59</v>
      </c>
      <c r="O309" t="s">
        <v>190</v>
      </c>
      <c r="P309" s="35" t="s">
        <v>191</v>
      </c>
      <c r="Q309" t="s">
        <v>200</v>
      </c>
      <c r="R309" t="s">
        <v>2681</v>
      </c>
      <c r="S309" s="6" t="s">
        <v>6212</v>
      </c>
      <c r="T309" s="43" t="s">
        <v>307</v>
      </c>
      <c r="U309" s="43" t="s">
        <v>625</v>
      </c>
      <c r="V309" t="s">
        <v>49</v>
      </c>
      <c r="W309" s="57"/>
      <c r="X309" s="57"/>
      <c r="Y309" t="s">
        <v>50</v>
      </c>
      <c r="Z309" s="39"/>
      <c r="AA309" s="39"/>
      <c r="AB309" t="s">
        <v>100</v>
      </c>
      <c r="AC309" s="42">
        <v>34431</v>
      </c>
      <c r="AD309" s="42">
        <v>34633</v>
      </c>
      <c r="AE309" s="53" t="s">
        <v>116</v>
      </c>
      <c r="AF309" s="54" t="s">
        <v>35</v>
      </c>
      <c r="AG309" s="54"/>
      <c r="AH309" s="39" t="s">
        <v>70</v>
      </c>
      <c r="AI309" s="39" t="s">
        <v>52</v>
      </c>
    </row>
    <row r="310" spans="1:35" ht="17" x14ac:dyDescent="0.2">
      <c r="A310">
        <v>434</v>
      </c>
      <c r="B310">
        <v>463</v>
      </c>
      <c r="C310" t="s">
        <v>4597</v>
      </c>
      <c r="D310" s="39" t="s">
        <v>2687</v>
      </c>
      <c r="E310" s="39" t="s">
        <v>832</v>
      </c>
      <c r="F310" s="39" t="s">
        <v>35</v>
      </c>
      <c r="G310" s="39" t="s">
        <v>160</v>
      </c>
      <c r="I310" s="39" t="s">
        <v>2688</v>
      </c>
      <c r="J310" s="39" t="s">
        <v>35</v>
      </c>
      <c r="K310" t="s">
        <v>2689</v>
      </c>
      <c r="L310" t="s">
        <v>163</v>
      </c>
      <c r="M310" s="6" t="s">
        <v>5989</v>
      </c>
      <c r="N310" t="s">
        <v>86</v>
      </c>
      <c r="O310" t="s">
        <v>123</v>
      </c>
      <c r="P310" s="35" t="s">
        <v>99</v>
      </c>
      <c r="Q310" t="s">
        <v>62</v>
      </c>
      <c r="R310" t="s">
        <v>837</v>
      </c>
      <c r="S310" s="6" t="s">
        <v>6213</v>
      </c>
      <c r="T310" s="43" t="s">
        <v>409</v>
      </c>
      <c r="U310" s="43" t="s">
        <v>1204</v>
      </c>
      <c r="V310" t="s">
        <v>839</v>
      </c>
      <c r="W310" s="57"/>
      <c r="X310" s="57"/>
      <c r="Y310" t="s">
        <v>354</v>
      </c>
      <c r="Z310" s="39"/>
      <c r="AA310" s="39"/>
      <c r="AB310" t="s">
        <v>115</v>
      </c>
      <c r="AC310" s="42">
        <v>42385</v>
      </c>
      <c r="AD310" s="42">
        <v>43152</v>
      </c>
      <c r="AE310" s="53" t="s">
        <v>51</v>
      </c>
      <c r="AF310" s="54" t="s">
        <v>35</v>
      </c>
      <c r="AG310" s="54"/>
      <c r="AH310" s="39" t="s">
        <v>52</v>
      </c>
      <c r="AI310" s="39" t="s">
        <v>52</v>
      </c>
    </row>
    <row r="311" spans="1:35" ht="17" x14ac:dyDescent="0.2">
      <c r="A311">
        <v>317</v>
      </c>
      <c r="B311">
        <v>480</v>
      </c>
      <c r="C311" t="s">
        <v>4600</v>
      </c>
      <c r="D311" s="39" t="s">
        <v>2764</v>
      </c>
      <c r="E311" s="39" t="s">
        <v>832</v>
      </c>
      <c r="F311" s="39" t="s">
        <v>35</v>
      </c>
      <c r="G311" s="39" t="s">
        <v>55</v>
      </c>
      <c r="I311" s="39" t="s">
        <v>2765</v>
      </c>
      <c r="J311" s="39" t="s">
        <v>35</v>
      </c>
      <c r="K311" t="s">
        <v>2766</v>
      </c>
      <c r="L311" t="s">
        <v>2364</v>
      </c>
      <c r="M311" s="6" t="s">
        <v>5990</v>
      </c>
      <c r="O311" t="s">
        <v>2767</v>
      </c>
      <c r="P311" s="35" t="s">
        <v>50</v>
      </c>
      <c r="Q311" t="s">
        <v>62</v>
      </c>
      <c r="R311" t="s">
        <v>2768</v>
      </c>
      <c r="S311" s="6" t="s">
        <v>4588</v>
      </c>
      <c r="T311" s="43" t="s">
        <v>279</v>
      </c>
      <c r="U311" s="43" t="s">
        <v>625</v>
      </c>
      <c r="V311" t="s">
        <v>2767</v>
      </c>
      <c r="W311" s="57"/>
      <c r="X311" s="57"/>
      <c r="Y311" t="s">
        <v>50</v>
      </c>
      <c r="Z311" s="39"/>
      <c r="AA311" s="39"/>
      <c r="AB311" t="s">
        <v>115</v>
      </c>
      <c r="AC311" s="42">
        <v>39602</v>
      </c>
      <c r="AD311" s="42">
        <v>40190</v>
      </c>
      <c r="AE311" s="53" t="s">
        <v>51</v>
      </c>
      <c r="AF311" s="54" t="s">
        <v>35</v>
      </c>
      <c r="AG311" s="54"/>
      <c r="AH311" s="39" t="s">
        <v>52</v>
      </c>
      <c r="AI311" s="39" t="s">
        <v>52</v>
      </c>
    </row>
    <row r="312" spans="1:35" ht="17" x14ac:dyDescent="0.2">
      <c r="A312">
        <v>180</v>
      </c>
      <c r="B312">
        <v>120</v>
      </c>
      <c r="C312" t="s">
        <v>4605</v>
      </c>
      <c r="D312" s="39" t="s">
        <v>919</v>
      </c>
      <c r="E312" s="39" t="s">
        <v>920</v>
      </c>
      <c r="F312" s="39" t="s">
        <v>35</v>
      </c>
      <c r="G312" s="39" t="s">
        <v>82</v>
      </c>
      <c r="I312" s="39" t="s">
        <v>921</v>
      </c>
      <c r="J312" s="39" t="s">
        <v>922</v>
      </c>
      <c r="K312" t="s">
        <v>923</v>
      </c>
      <c r="L312" s="49" t="s">
        <v>924</v>
      </c>
      <c r="M312" s="6" t="s">
        <v>5991</v>
      </c>
      <c r="N312" t="s">
        <v>59</v>
      </c>
      <c r="O312" t="s">
        <v>49</v>
      </c>
      <c r="P312" s="35" t="s">
        <v>50</v>
      </c>
      <c r="Q312" t="s">
        <v>62</v>
      </c>
      <c r="R312" t="s">
        <v>925</v>
      </c>
      <c r="S312" s="6" t="s">
        <v>6214</v>
      </c>
      <c r="T312" s="43" t="s">
        <v>926</v>
      </c>
      <c r="U312" s="43" t="s">
        <v>927</v>
      </c>
      <c r="V312" t="s">
        <v>123</v>
      </c>
      <c r="W312" s="57"/>
      <c r="X312" s="57"/>
      <c r="Y312" t="s">
        <v>99</v>
      </c>
      <c r="Z312" s="39"/>
      <c r="AA312" s="39"/>
      <c r="AB312" t="s">
        <v>62</v>
      </c>
      <c r="AC312" s="42">
        <v>37013</v>
      </c>
      <c r="AD312" s="42">
        <v>37642</v>
      </c>
      <c r="AE312" s="53" t="s">
        <v>51</v>
      </c>
      <c r="AF312" s="54" t="s">
        <v>35</v>
      </c>
      <c r="AG312" s="54"/>
      <c r="AH312" s="39" t="s">
        <v>52</v>
      </c>
      <c r="AI312" s="39" t="s">
        <v>52</v>
      </c>
    </row>
    <row r="313" spans="1:35" ht="17" x14ac:dyDescent="0.2">
      <c r="A313">
        <v>293</v>
      </c>
      <c r="B313">
        <v>102</v>
      </c>
      <c r="C313" t="s">
        <v>4611</v>
      </c>
      <c r="D313" s="39" t="s">
        <v>790</v>
      </c>
      <c r="E313" s="39" t="s">
        <v>791</v>
      </c>
      <c r="F313" s="39" t="s">
        <v>35</v>
      </c>
      <c r="G313" s="39" t="s">
        <v>55</v>
      </c>
      <c r="I313" s="39" t="s">
        <v>792</v>
      </c>
      <c r="J313" s="39" t="s">
        <v>35</v>
      </c>
      <c r="K313" t="s">
        <v>793</v>
      </c>
      <c r="L313" s="49" t="s">
        <v>794</v>
      </c>
      <c r="M313" s="6" t="s">
        <v>4595</v>
      </c>
      <c r="N313" t="s">
        <v>59</v>
      </c>
      <c r="O313" t="s">
        <v>49</v>
      </c>
      <c r="P313" s="35" t="s">
        <v>50</v>
      </c>
      <c r="Q313" t="s">
        <v>62</v>
      </c>
      <c r="R313" t="s">
        <v>795</v>
      </c>
      <c r="S313" s="6" t="s">
        <v>4596</v>
      </c>
      <c r="T313" s="43" t="s">
        <v>796</v>
      </c>
      <c r="U313" s="43" t="s">
        <v>797</v>
      </c>
      <c r="V313" t="s">
        <v>49</v>
      </c>
      <c r="W313" s="57"/>
      <c r="X313" s="57"/>
      <c r="Y313" t="s">
        <v>50</v>
      </c>
      <c r="Z313" s="39"/>
      <c r="AA313" s="39"/>
      <c r="AB313" t="s">
        <v>132</v>
      </c>
      <c r="AC313" s="42">
        <v>39098</v>
      </c>
      <c r="AD313" s="42">
        <v>39406</v>
      </c>
      <c r="AE313" s="53" t="s">
        <v>51</v>
      </c>
      <c r="AF313" s="54" t="s">
        <v>35</v>
      </c>
      <c r="AG313" s="54"/>
      <c r="AH313" s="39" t="s">
        <v>52</v>
      </c>
      <c r="AI313" s="39" t="s">
        <v>52</v>
      </c>
    </row>
    <row r="314" spans="1:35" ht="17" x14ac:dyDescent="0.2">
      <c r="A314">
        <v>491</v>
      </c>
      <c r="B314">
        <v>235</v>
      </c>
      <c r="C314" t="s">
        <v>4616</v>
      </c>
      <c r="D314" s="39" t="s">
        <v>1574</v>
      </c>
      <c r="E314" s="39" t="s">
        <v>791</v>
      </c>
      <c r="F314" s="39" t="s">
        <v>35</v>
      </c>
      <c r="G314" s="39" t="s">
        <v>36</v>
      </c>
      <c r="I314" s="39" t="s">
        <v>1575</v>
      </c>
      <c r="J314" s="39" t="s">
        <v>35</v>
      </c>
      <c r="K314" t="s">
        <v>1576</v>
      </c>
      <c r="L314" t="s">
        <v>1577</v>
      </c>
      <c r="M314" s="6" t="s">
        <v>3649</v>
      </c>
      <c r="N314" t="s">
        <v>59</v>
      </c>
      <c r="O314" t="s">
        <v>42</v>
      </c>
      <c r="P314" s="35" t="s">
        <v>43</v>
      </c>
      <c r="Q314" t="s">
        <v>44</v>
      </c>
      <c r="R314" t="s">
        <v>230</v>
      </c>
      <c r="S314" s="6" t="s">
        <v>4599</v>
      </c>
      <c r="T314" s="43" t="s">
        <v>135</v>
      </c>
      <c r="U314" s="43" t="s">
        <v>1086</v>
      </c>
      <c r="V314" t="s">
        <v>42</v>
      </c>
      <c r="W314" s="57"/>
      <c r="X314" s="57"/>
      <c r="Y314" t="s">
        <v>43</v>
      </c>
      <c r="Z314" s="39"/>
      <c r="AA314" s="39"/>
      <c r="AB314" t="s">
        <v>44</v>
      </c>
      <c r="AC314" s="42">
        <v>43497</v>
      </c>
      <c r="AD314" s="42">
        <v>44470</v>
      </c>
      <c r="AE314" s="53" t="s">
        <v>157</v>
      </c>
      <c r="AF314" s="54" t="s">
        <v>239</v>
      </c>
      <c r="AG314" s="54"/>
      <c r="AH314" s="39" t="s">
        <v>70</v>
      </c>
      <c r="AI314" s="39" t="s">
        <v>52</v>
      </c>
    </row>
    <row r="315" spans="1:35" ht="17" x14ac:dyDescent="0.2">
      <c r="B315">
        <v>251</v>
      </c>
      <c r="C315" t="s">
        <v>4619</v>
      </c>
      <c r="D315" s="39" t="s">
        <v>1660</v>
      </c>
      <c r="E315" s="39" t="s">
        <v>791</v>
      </c>
      <c r="F315" s="39" t="s">
        <v>35</v>
      </c>
      <c r="G315" s="39" t="s">
        <v>55</v>
      </c>
      <c r="I315" s="39" t="s">
        <v>1661</v>
      </c>
      <c r="J315" s="39" t="s">
        <v>1662</v>
      </c>
      <c r="K315" t="s">
        <v>1663</v>
      </c>
      <c r="L315" t="s">
        <v>352</v>
      </c>
      <c r="M315" s="6" t="s">
        <v>5992</v>
      </c>
      <c r="N315" s="36" t="s">
        <v>86</v>
      </c>
      <c r="O315" t="s">
        <v>353</v>
      </c>
      <c r="P315" s="35" t="s">
        <v>356</v>
      </c>
      <c r="Q315" t="s">
        <v>44</v>
      </c>
      <c r="R315" t="s">
        <v>1664</v>
      </c>
      <c r="S315" s="6" t="s">
        <v>4602</v>
      </c>
      <c r="T315" s="43" t="s">
        <v>400</v>
      </c>
      <c r="U315" s="43" t="s">
        <v>409</v>
      </c>
      <c r="W315" s="57"/>
      <c r="X315" s="57"/>
      <c r="Z315" s="39"/>
      <c r="AA315" s="39"/>
      <c r="AB315" t="s">
        <v>100</v>
      </c>
      <c r="AC315" s="42">
        <v>42401</v>
      </c>
      <c r="AD315" s="42">
        <v>42794</v>
      </c>
      <c r="AE315" s="53" t="s">
        <v>51</v>
      </c>
      <c r="AF315" s="54" t="s">
        <v>35</v>
      </c>
      <c r="AG315" s="54"/>
      <c r="AH315" s="39" t="s">
        <v>52</v>
      </c>
      <c r="AI315" s="39" t="s">
        <v>52</v>
      </c>
    </row>
    <row r="316" spans="1:35" ht="17" x14ac:dyDescent="0.2">
      <c r="A316">
        <v>430</v>
      </c>
      <c r="B316">
        <v>264</v>
      </c>
      <c r="C316" t="s">
        <v>4622</v>
      </c>
      <c r="D316" s="39" t="s">
        <v>1724</v>
      </c>
      <c r="E316" s="39" t="s">
        <v>791</v>
      </c>
      <c r="F316" s="39" t="s">
        <v>35</v>
      </c>
      <c r="G316" s="39" t="s">
        <v>36</v>
      </c>
      <c r="I316" s="39" t="s">
        <v>1725</v>
      </c>
      <c r="J316" s="39" t="s">
        <v>35</v>
      </c>
      <c r="K316" t="s">
        <v>1726</v>
      </c>
      <c r="L316" t="s">
        <v>1727</v>
      </c>
      <c r="M316" s="6" t="s">
        <v>4608</v>
      </c>
      <c r="N316" t="s">
        <v>41</v>
      </c>
      <c r="O316" t="s">
        <v>49</v>
      </c>
      <c r="P316" s="35" t="s">
        <v>50</v>
      </c>
      <c r="Q316" t="s">
        <v>44</v>
      </c>
      <c r="R316" t="s">
        <v>163</v>
      </c>
      <c r="S316" s="6" t="s">
        <v>157</v>
      </c>
      <c r="T316" s="43" t="s">
        <v>154</v>
      </c>
      <c r="U316" s="43" t="s">
        <v>1436</v>
      </c>
      <c r="V316" t="s">
        <v>49</v>
      </c>
      <c r="W316" s="57"/>
      <c r="X316" s="57"/>
      <c r="Y316" t="s">
        <v>50</v>
      </c>
      <c r="Z316" s="39"/>
      <c r="AA316" s="39"/>
      <c r="AB316" t="s">
        <v>62</v>
      </c>
      <c r="AC316" s="42">
        <v>42751</v>
      </c>
      <c r="AD316" s="42">
        <v>42991</v>
      </c>
      <c r="AE316" s="53" t="s">
        <v>51</v>
      </c>
      <c r="AF316" s="54" t="s">
        <v>35</v>
      </c>
      <c r="AG316" s="54"/>
      <c r="AH316" s="39" t="s">
        <v>52</v>
      </c>
      <c r="AI316" s="39" t="s">
        <v>52</v>
      </c>
    </row>
    <row r="317" spans="1:35" ht="17" x14ac:dyDescent="0.2">
      <c r="A317" t="s">
        <v>35</v>
      </c>
      <c r="B317">
        <v>475</v>
      </c>
      <c r="C317" t="s">
        <v>5820</v>
      </c>
      <c r="D317" s="39" t="s">
        <v>2745</v>
      </c>
      <c r="E317" s="39" t="s">
        <v>791</v>
      </c>
      <c r="F317" s="39" t="s">
        <v>349</v>
      </c>
      <c r="G317" s="39" t="s">
        <v>160</v>
      </c>
      <c r="I317" s="39" t="s">
        <v>2746</v>
      </c>
      <c r="J317" s="39" t="s">
        <v>35</v>
      </c>
      <c r="K317" t="s">
        <v>2747</v>
      </c>
      <c r="L317" t="s">
        <v>2748</v>
      </c>
      <c r="M317" s="6" t="s">
        <v>4577</v>
      </c>
      <c r="N317" s="36" t="s">
        <v>86</v>
      </c>
      <c r="O317" t="s">
        <v>42</v>
      </c>
      <c r="P317" s="35" t="s">
        <v>43</v>
      </c>
      <c r="Q317" t="s">
        <v>115</v>
      </c>
      <c r="R317" t="s">
        <v>2518</v>
      </c>
      <c r="S317" s="6" t="s">
        <v>4577</v>
      </c>
      <c r="T317" s="43" t="s">
        <v>1051</v>
      </c>
      <c r="U317" s="43" t="s">
        <v>625</v>
      </c>
      <c r="V317" t="s">
        <v>42</v>
      </c>
      <c r="W317" s="57"/>
      <c r="X317" s="57"/>
      <c r="Y317" t="s">
        <v>43</v>
      </c>
      <c r="Z317" s="39"/>
      <c r="AA317" s="39"/>
      <c r="AB317" t="s">
        <v>44</v>
      </c>
      <c r="AC317" s="42">
        <v>41058</v>
      </c>
      <c r="AD317" s="42">
        <v>41918</v>
      </c>
      <c r="AE317" s="53" t="s">
        <v>68</v>
      </c>
      <c r="AF317" s="54" t="s">
        <v>35</v>
      </c>
      <c r="AG317" s="54"/>
      <c r="AH317" s="39" t="s">
        <v>70</v>
      </c>
      <c r="AI317" s="39" t="s">
        <v>52</v>
      </c>
    </row>
    <row r="318" spans="1:35" ht="17" x14ac:dyDescent="0.2">
      <c r="A318">
        <v>59</v>
      </c>
      <c r="B318">
        <v>158</v>
      </c>
      <c r="C318" t="s">
        <v>4628</v>
      </c>
      <c r="D318" s="39" t="s">
        <v>1152</v>
      </c>
      <c r="E318" s="39" t="s">
        <v>1153</v>
      </c>
      <c r="F318" s="39" t="s">
        <v>35</v>
      </c>
      <c r="G318" s="39" t="s">
        <v>194</v>
      </c>
      <c r="I318" s="39" t="s">
        <v>1154</v>
      </c>
      <c r="J318" s="39" t="s">
        <v>35</v>
      </c>
      <c r="K318" t="s">
        <v>1155</v>
      </c>
      <c r="L318" s="49" t="s">
        <v>1156</v>
      </c>
      <c r="M318" s="6" t="s">
        <v>3717</v>
      </c>
      <c r="O318" t="s">
        <v>49</v>
      </c>
      <c r="P318" s="35" t="s">
        <v>50</v>
      </c>
      <c r="Q318" t="s">
        <v>100</v>
      </c>
      <c r="S318" s="6" t="s">
        <v>6215</v>
      </c>
      <c r="T318" s="43" t="s">
        <v>35</v>
      </c>
      <c r="U318" s="43" t="s">
        <v>35</v>
      </c>
      <c r="W318" s="57"/>
      <c r="X318" s="57"/>
      <c r="Z318" s="39"/>
      <c r="AA318" s="39"/>
      <c r="AB318" t="s">
        <v>35</v>
      </c>
      <c r="AC318" s="42">
        <v>33419</v>
      </c>
      <c r="AD318" s="42">
        <v>34233</v>
      </c>
      <c r="AE318" s="53" t="s">
        <v>116</v>
      </c>
      <c r="AF318" s="54" t="s">
        <v>35</v>
      </c>
      <c r="AG318" s="54"/>
      <c r="AH318" s="39" t="s">
        <v>70</v>
      </c>
      <c r="AI318" s="39" t="s">
        <v>52</v>
      </c>
    </row>
    <row r="319" spans="1:35" ht="17" x14ac:dyDescent="0.2">
      <c r="A319">
        <v>157</v>
      </c>
      <c r="B319">
        <v>585</v>
      </c>
      <c r="C319" t="s">
        <v>4629</v>
      </c>
      <c r="D319" s="39" t="s">
        <v>3277</v>
      </c>
      <c r="E319" s="39" t="s">
        <v>1153</v>
      </c>
      <c r="F319" s="39" t="s">
        <v>35</v>
      </c>
      <c r="G319" s="39" t="s">
        <v>205</v>
      </c>
      <c r="H319" s="34"/>
      <c r="I319" s="39" t="s">
        <v>3278</v>
      </c>
      <c r="J319" s="39" t="s">
        <v>35</v>
      </c>
      <c r="K319" t="s">
        <v>35</v>
      </c>
      <c r="M319" s="6" t="s">
        <v>5993</v>
      </c>
      <c r="P319" s="35"/>
      <c r="Q319" t="s">
        <v>35</v>
      </c>
      <c r="S319" s="6" t="s">
        <v>3964</v>
      </c>
      <c r="T319" s="43" t="s">
        <v>35</v>
      </c>
      <c r="U319" s="43" t="s">
        <v>35</v>
      </c>
      <c r="W319" s="57"/>
      <c r="X319" s="57"/>
      <c r="Z319" s="39"/>
      <c r="AA319" s="39"/>
      <c r="AB319" t="s">
        <v>35</v>
      </c>
      <c r="AC319" s="42">
        <v>36655</v>
      </c>
      <c r="AD319" s="42">
        <v>38007</v>
      </c>
      <c r="AE319" s="53" t="s">
        <v>51</v>
      </c>
      <c r="AF319" s="54" t="s">
        <v>35</v>
      </c>
      <c r="AG319" s="54"/>
      <c r="AH319" s="39" t="s">
        <v>52</v>
      </c>
      <c r="AI319" s="39" t="s">
        <v>52</v>
      </c>
    </row>
    <row r="320" spans="1:35" ht="17" x14ac:dyDescent="0.2">
      <c r="A320">
        <v>376</v>
      </c>
      <c r="B320">
        <v>476</v>
      </c>
      <c r="C320" t="s">
        <v>4631</v>
      </c>
      <c r="D320" s="39" t="s">
        <v>2749</v>
      </c>
      <c r="E320" s="39" t="s">
        <v>2750</v>
      </c>
      <c r="F320" s="39" t="s">
        <v>35</v>
      </c>
      <c r="G320" s="39" t="s">
        <v>160</v>
      </c>
      <c r="I320" s="39" t="s">
        <v>2751</v>
      </c>
      <c r="J320" s="39" t="s">
        <v>35</v>
      </c>
      <c r="K320" t="s">
        <v>2752</v>
      </c>
      <c r="L320" t="s">
        <v>163</v>
      </c>
      <c r="M320" s="6" t="s">
        <v>5994</v>
      </c>
      <c r="N320" t="s">
        <v>86</v>
      </c>
      <c r="O320" t="s">
        <v>49</v>
      </c>
      <c r="P320" s="35" t="s">
        <v>50</v>
      </c>
      <c r="Q320" t="s">
        <v>62</v>
      </c>
      <c r="R320" t="s">
        <v>837</v>
      </c>
      <c r="S320" s="6" t="s">
        <v>3461</v>
      </c>
      <c r="T320" s="43" t="s">
        <v>886</v>
      </c>
      <c r="U320" s="43" t="s">
        <v>706</v>
      </c>
      <c r="V320" t="s">
        <v>839</v>
      </c>
      <c r="W320" s="57"/>
      <c r="X320" s="57"/>
      <c r="Y320" t="s">
        <v>354</v>
      </c>
      <c r="Z320" s="39"/>
      <c r="AA320" s="39"/>
      <c r="AB320" t="s">
        <v>44</v>
      </c>
      <c r="AC320" s="42">
        <v>41666</v>
      </c>
      <c r="AD320" s="42">
        <v>41890</v>
      </c>
      <c r="AE320" s="53" t="s">
        <v>403</v>
      </c>
      <c r="AF320" s="54" t="s">
        <v>35</v>
      </c>
      <c r="AG320" s="54"/>
      <c r="AH320" s="39" t="s">
        <v>52</v>
      </c>
      <c r="AI320" s="39" t="s">
        <v>70</v>
      </c>
    </row>
    <row r="321" spans="1:35" ht="17" x14ac:dyDescent="0.2">
      <c r="A321">
        <v>364</v>
      </c>
      <c r="B321">
        <v>588</v>
      </c>
      <c r="C321" t="s">
        <v>4635</v>
      </c>
      <c r="D321" s="39" t="s">
        <v>3289</v>
      </c>
      <c r="E321" s="39" t="s">
        <v>3290</v>
      </c>
      <c r="F321" s="39" t="s">
        <v>35</v>
      </c>
      <c r="G321" s="39" t="s">
        <v>259</v>
      </c>
      <c r="I321" s="39" t="s">
        <v>3291</v>
      </c>
      <c r="J321" s="39" t="s">
        <v>35</v>
      </c>
      <c r="K321" t="s">
        <v>3292</v>
      </c>
      <c r="L321" t="s">
        <v>3293</v>
      </c>
      <c r="M321" s="6" t="s">
        <v>5091</v>
      </c>
      <c r="N321" t="s">
        <v>41</v>
      </c>
      <c r="O321" t="s">
        <v>401</v>
      </c>
      <c r="P321" s="35" t="s">
        <v>50</v>
      </c>
      <c r="Q321" t="s">
        <v>100</v>
      </c>
      <c r="R321" t="s">
        <v>3294</v>
      </c>
      <c r="S321" s="6" t="s">
        <v>6216</v>
      </c>
      <c r="T321" s="43" t="s">
        <v>102</v>
      </c>
      <c r="U321" s="43" t="s">
        <v>324</v>
      </c>
      <c r="V321" t="s">
        <v>3271</v>
      </c>
      <c r="W321" s="57"/>
      <c r="X321" s="57"/>
      <c r="Y321" t="s">
        <v>894</v>
      </c>
      <c r="Z321" s="39"/>
      <c r="AA321" s="39"/>
      <c r="AB321" t="s">
        <v>100</v>
      </c>
      <c r="AC321" s="42">
        <v>41310</v>
      </c>
      <c r="AD321" s="42">
        <v>42809</v>
      </c>
      <c r="AE321" s="53" t="s">
        <v>559</v>
      </c>
      <c r="AF321" s="54" t="s">
        <v>35</v>
      </c>
      <c r="AG321" s="54"/>
      <c r="AH321" s="39" t="s">
        <v>52</v>
      </c>
      <c r="AI321" s="39" t="s">
        <v>70</v>
      </c>
    </row>
    <row r="322" spans="1:35" ht="17" x14ac:dyDescent="0.2">
      <c r="A322">
        <v>507</v>
      </c>
      <c r="B322">
        <v>205</v>
      </c>
      <c r="C322" t="s">
        <v>4642</v>
      </c>
      <c r="D322" s="39" t="s">
        <v>1397</v>
      </c>
      <c r="E322" s="39" t="s">
        <v>1398</v>
      </c>
      <c r="F322" s="39" t="s">
        <v>35</v>
      </c>
      <c r="G322" s="39" t="s">
        <v>36</v>
      </c>
      <c r="I322" s="39" t="s">
        <v>1399</v>
      </c>
      <c r="J322" s="39" t="s">
        <v>35</v>
      </c>
      <c r="K322" t="s">
        <v>1400</v>
      </c>
      <c r="L322" t="s">
        <v>75</v>
      </c>
      <c r="M322" s="6" t="s">
        <v>5995</v>
      </c>
      <c r="N322" t="s">
        <v>59</v>
      </c>
      <c r="O322" t="s">
        <v>49</v>
      </c>
      <c r="P322" s="35" t="s">
        <v>50</v>
      </c>
      <c r="Q322" t="s">
        <v>44</v>
      </c>
      <c r="R322" t="s">
        <v>612</v>
      </c>
      <c r="S322" s="6" t="s">
        <v>35</v>
      </c>
      <c r="T322" s="43" t="s">
        <v>238</v>
      </c>
      <c r="U322" s="43" t="s">
        <v>418</v>
      </c>
      <c r="V322" t="s">
        <v>49</v>
      </c>
      <c r="W322" s="57"/>
      <c r="X322" s="57"/>
      <c r="Y322" t="s">
        <v>50</v>
      </c>
      <c r="Z322" s="39"/>
      <c r="AA322" s="39"/>
      <c r="AB322" t="s">
        <v>62</v>
      </c>
      <c r="AC322" s="42">
        <v>43738</v>
      </c>
      <c r="AD322" s="42">
        <v>44196</v>
      </c>
      <c r="AE322" s="53" t="s">
        <v>69</v>
      </c>
      <c r="AF322" s="54" t="s">
        <v>35</v>
      </c>
      <c r="AG322" s="54"/>
      <c r="AH322" s="39" t="s">
        <v>52</v>
      </c>
      <c r="AI322" s="39" t="s">
        <v>70</v>
      </c>
    </row>
    <row r="323" spans="1:35" ht="17" x14ac:dyDescent="0.2">
      <c r="A323">
        <v>228</v>
      </c>
      <c r="B323">
        <v>562</v>
      </c>
      <c r="C323" t="s">
        <v>4647</v>
      </c>
      <c r="D323" s="39" t="s">
        <v>3172</v>
      </c>
      <c r="E323" s="39" t="s">
        <v>1398</v>
      </c>
      <c r="F323" s="39" t="s">
        <v>35</v>
      </c>
      <c r="G323" s="39" t="s">
        <v>82</v>
      </c>
      <c r="I323" s="39" t="s">
        <v>3173</v>
      </c>
      <c r="J323" s="39" t="s">
        <v>35</v>
      </c>
      <c r="K323" t="s">
        <v>3174</v>
      </c>
      <c r="L323" t="s">
        <v>3175</v>
      </c>
      <c r="M323" s="6" t="s">
        <v>35</v>
      </c>
      <c r="N323" t="s">
        <v>86</v>
      </c>
      <c r="O323" t="s">
        <v>49</v>
      </c>
      <c r="P323" s="35" t="s">
        <v>50</v>
      </c>
      <c r="Q323" t="s">
        <v>44</v>
      </c>
      <c r="R323" t="s">
        <v>3176</v>
      </c>
      <c r="S323" s="6" t="s">
        <v>35</v>
      </c>
      <c r="T323" s="43" t="s">
        <v>89</v>
      </c>
      <c r="U323" s="43" t="s">
        <v>400</v>
      </c>
      <c r="V323" t="s">
        <v>49</v>
      </c>
      <c r="W323" s="57"/>
      <c r="X323" s="57"/>
      <c r="Y323" t="s">
        <v>50</v>
      </c>
      <c r="Z323" s="39"/>
      <c r="AA323" s="39"/>
      <c r="AB323" t="s">
        <v>44</v>
      </c>
      <c r="AC323" s="42">
        <v>37797</v>
      </c>
      <c r="AD323" s="42">
        <v>38007</v>
      </c>
      <c r="AE323" s="53" t="s">
        <v>51</v>
      </c>
      <c r="AF323" s="54" t="s">
        <v>35</v>
      </c>
      <c r="AG323" s="54"/>
      <c r="AH323" s="39" t="s">
        <v>52</v>
      </c>
      <c r="AI323" s="39" t="s">
        <v>52</v>
      </c>
    </row>
    <row r="324" spans="1:35" ht="17" x14ac:dyDescent="0.2">
      <c r="A324">
        <v>400</v>
      </c>
      <c r="B324">
        <v>593</v>
      </c>
      <c r="C324" t="s">
        <v>4652</v>
      </c>
      <c r="D324" s="39" t="s">
        <v>3314</v>
      </c>
      <c r="E324" s="39" t="s">
        <v>3315</v>
      </c>
      <c r="F324" s="39" t="s">
        <v>35</v>
      </c>
      <c r="G324" s="39" t="s">
        <v>160</v>
      </c>
      <c r="I324" s="39" t="s">
        <v>3316</v>
      </c>
      <c r="J324" s="39" t="s">
        <v>35</v>
      </c>
      <c r="K324" t="s">
        <v>3317</v>
      </c>
      <c r="L324" t="s">
        <v>3318</v>
      </c>
      <c r="M324" s="6" t="s">
        <v>3493</v>
      </c>
      <c r="N324" t="s">
        <v>97</v>
      </c>
      <c r="O324" t="s">
        <v>49</v>
      </c>
      <c r="P324" s="35" t="s">
        <v>50</v>
      </c>
      <c r="Q324" t="s">
        <v>132</v>
      </c>
      <c r="R324" t="s">
        <v>612</v>
      </c>
      <c r="S324" s="6" t="s">
        <v>4633</v>
      </c>
      <c r="T324" s="43" t="s">
        <v>2197</v>
      </c>
      <c r="U324" s="43" t="s">
        <v>613</v>
      </c>
      <c r="V324" t="s">
        <v>49</v>
      </c>
      <c r="W324" s="57"/>
      <c r="X324" s="57"/>
      <c r="Y324" t="s">
        <v>50</v>
      </c>
      <c r="Z324" s="39"/>
      <c r="AA324" s="39"/>
      <c r="AB324" t="s">
        <v>100</v>
      </c>
      <c r="AC324" s="42">
        <v>42159</v>
      </c>
      <c r="AD324" s="42">
        <v>43017</v>
      </c>
      <c r="AE324" s="53" t="s">
        <v>559</v>
      </c>
      <c r="AF324" s="54" t="s">
        <v>35</v>
      </c>
      <c r="AG324" s="54"/>
      <c r="AH324" s="39" t="s">
        <v>52</v>
      </c>
      <c r="AI324" s="39" t="s">
        <v>70</v>
      </c>
    </row>
    <row r="325" spans="1:35" ht="17" x14ac:dyDescent="0.2">
      <c r="A325">
        <v>130</v>
      </c>
      <c r="B325">
        <v>528</v>
      </c>
      <c r="C325" t="s">
        <v>4656</v>
      </c>
      <c r="D325" s="39" t="s">
        <v>2998</v>
      </c>
      <c r="E325" s="39" t="s">
        <v>2999</v>
      </c>
      <c r="F325" s="39" t="s">
        <v>35</v>
      </c>
      <c r="G325" s="39" t="s">
        <v>205</v>
      </c>
      <c r="I325" s="39" t="s">
        <v>3000</v>
      </c>
      <c r="J325" s="39" t="s">
        <v>35</v>
      </c>
      <c r="K325" t="s">
        <v>3001</v>
      </c>
      <c r="L325" t="s">
        <v>3002</v>
      </c>
      <c r="M325" s="6" t="s">
        <v>4638</v>
      </c>
      <c r="N325" t="s">
        <v>86</v>
      </c>
      <c r="O325" t="s">
        <v>42</v>
      </c>
      <c r="P325" s="35" t="s">
        <v>622</v>
      </c>
      <c r="Q325" t="s">
        <v>44</v>
      </c>
      <c r="R325" t="s">
        <v>2374</v>
      </c>
      <c r="S325" s="6" t="s">
        <v>3489</v>
      </c>
      <c r="T325" s="43" t="s">
        <v>2172</v>
      </c>
      <c r="U325" s="43" t="s">
        <v>409</v>
      </c>
      <c r="V325" t="s">
        <v>3003</v>
      </c>
      <c r="W325" s="57"/>
      <c r="X325" s="57"/>
      <c r="Y325" t="s">
        <v>50</v>
      </c>
      <c r="Z325" s="39"/>
      <c r="AA325" s="39"/>
      <c r="AB325" t="s">
        <v>479</v>
      </c>
      <c r="AC325" s="42">
        <v>35831</v>
      </c>
      <c r="AD325" s="42">
        <v>35990</v>
      </c>
      <c r="AE325" s="53" t="s">
        <v>559</v>
      </c>
      <c r="AF325" s="54" t="s">
        <v>35</v>
      </c>
      <c r="AG325" s="54"/>
      <c r="AH325" s="39" t="s">
        <v>52</v>
      </c>
      <c r="AI325" s="39" t="s">
        <v>70</v>
      </c>
    </row>
    <row r="326" spans="1:35" ht="17" x14ac:dyDescent="0.2">
      <c r="A326">
        <v>421</v>
      </c>
      <c r="B326">
        <v>418</v>
      </c>
      <c r="C326" t="s">
        <v>4661</v>
      </c>
      <c r="D326" s="39" t="s">
        <v>2490</v>
      </c>
      <c r="E326" s="39" t="s">
        <v>2491</v>
      </c>
      <c r="F326" s="39" t="s">
        <v>35</v>
      </c>
      <c r="G326" s="39" t="s">
        <v>160</v>
      </c>
      <c r="I326" s="39" t="s">
        <v>2492</v>
      </c>
      <c r="J326" s="39" t="s">
        <v>2493</v>
      </c>
      <c r="K326" t="s">
        <v>2494</v>
      </c>
      <c r="L326" t="s">
        <v>75</v>
      </c>
      <c r="M326" s="6" t="s">
        <v>5996</v>
      </c>
      <c r="N326" t="s">
        <v>59</v>
      </c>
      <c r="O326" t="s">
        <v>49</v>
      </c>
      <c r="P326" s="35" t="s">
        <v>50</v>
      </c>
      <c r="Q326" t="s">
        <v>44</v>
      </c>
      <c r="R326" t="s">
        <v>75</v>
      </c>
      <c r="S326" s="6" t="s">
        <v>51</v>
      </c>
      <c r="T326" s="43" t="s">
        <v>66</v>
      </c>
      <c r="U326" s="43" t="s">
        <v>47</v>
      </c>
      <c r="V326" t="s">
        <v>49</v>
      </c>
      <c r="W326" s="57"/>
      <c r="X326" s="57"/>
      <c r="Y326" t="s">
        <v>50</v>
      </c>
      <c r="Z326" s="39"/>
      <c r="AA326" s="39"/>
      <c r="AB326" t="s">
        <v>558</v>
      </c>
      <c r="AC326" s="42">
        <v>42513</v>
      </c>
      <c r="AD326" s="42">
        <v>43003</v>
      </c>
      <c r="AE326" s="53" t="s">
        <v>730</v>
      </c>
      <c r="AF326" s="54" t="s">
        <v>35</v>
      </c>
      <c r="AG326" s="54"/>
      <c r="AH326" s="39" t="s">
        <v>52</v>
      </c>
      <c r="AI326" s="39" t="s">
        <v>70</v>
      </c>
    </row>
    <row r="327" spans="1:35" ht="17" x14ac:dyDescent="0.2">
      <c r="A327">
        <v>508</v>
      </c>
      <c r="B327">
        <v>245</v>
      </c>
      <c r="C327" t="s">
        <v>4667</v>
      </c>
      <c r="D327" s="39" t="s">
        <v>1628</v>
      </c>
      <c r="E327" s="39" t="s">
        <v>1629</v>
      </c>
      <c r="F327" s="39" t="s">
        <v>35</v>
      </c>
      <c r="G327" s="39" t="s">
        <v>36</v>
      </c>
      <c r="I327" s="39" t="s">
        <v>1630</v>
      </c>
      <c r="J327" s="39" t="s">
        <v>35</v>
      </c>
      <c r="K327" t="s">
        <v>1631</v>
      </c>
      <c r="L327" t="s">
        <v>1632</v>
      </c>
      <c r="M327" s="6" t="s">
        <v>5997</v>
      </c>
      <c r="N327" t="s">
        <v>59</v>
      </c>
      <c r="O327" t="s">
        <v>49</v>
      </c>
      <c r="P327" s="35" t="s">
        <v>50</v>
      </c>
      <c r="Q327" t="s">
        <v>44</v>
      </c>
      <c r="R327" t="s">
        <v>1633</v>
      </c>
      <c r="S327" s="6" t="s">
        <v>4651</v>
      </c>
      <c r="T327" s="43" t="s">
        <v>78</v>
      </c>
      <c r="U327" s="43" t="s">
        <v>154</v>
      </c>
      <c r="V327" t="s">
        <v>49</v>
      </c>
      <c r="W327" s="57"/>
      <c r="X327" s="57"/>
      <c r="Y327" t="s">
        <v>50</v>
      </c>
      <c r="Z327" s="39"/>
      <c r="AA327" s="39"/>
      <c r="AB327" t="s">
        <v>44</v>
      </c>
      <c r="AC327" s="42">
        <v>43843</v>
      </c>
      <c r="AD327" s="42">
        <v>44339</v>
      </c>
      <c r="AE327" s="53" t="s">
        <v>425</v>
      </c>
      <c r="AF327" s="54" t="s">
        <v>35</v>
      </c>
      <c r="AG327" s="54"/>
      <c r="AH327" s="39" t="s">
        <v>52</v>
      </c>
      <c r="AI327" s="39" t="s">
        <v>70</v>
      </c>
    </row>
    <row r="328" spans="1:35" ht="17" x14ac:dyDescent="0.2">
      <c r="A328">
        <v>443</v>
      </c>
      <c r="B328">
        <v>321</v>
      </c>
      <c r="C328" t="s">
        <v>4669</v>
      </c>
      <c r="D328" s="39" t="s">
        <v>2002</v>
      </c>
      <c r="E328" s="39" t="s">
        <v>1629</v>
      </c>
      <c r="F328" s="39" t="s">
        <v>35</v>
      </c>
      <c r="G328" s="39" t="s">
        <v>36</v>
      </c>
      <c r="I328" s="39" t="s">
        <v>2003</v>
      </c>
      <c r="J328" s="39" t="s">
        <v>35</v>
      </c>
      <c r="K328" t="s">
        <v>2004</v>
      </c>
      <c r="L328" t="s">
        <v>2005</v>
      </c>
      <c r="M328" s="6" t="s">
        <v>4653</v>
      </c>
      <c r="N328" t="s">
        <v>131</v>
      </c>
      <c r="O328" t="s">
        <v>42</v>
      </c>
      <c r="P328" s="35" t="s">
        <v>43</v>
      </c>
      <c r="Q328" t="s">
        <v>44</v>
      </c>
      <c r="R328" t="s">
        <v>436</v>
      </c>
      <c r="S328" s="6" t="s">
        <v>6217</v>
      </c>
      <c r="T328" s="43" t="s">
        <v>614</v>
      </c>
      <c r="U328" s="43" t="s">
        <v>102</v>
      </c>
      <c r="V328" t="s">
        <v>42</v>
      </c>
      <c r="W328" s="57"/>
      <c r="X328" s="57"/>
      <c r="Y328" t="s">
        <v>43</v>
      </c>
      <c r="Z328" s="39"/>
      <c r="AA328" s="39"/>
      <c r="AB328" t="s">
        <v>44</v>
      </c>
      <c r="AC328" s="42">
        <v>42886</v>
      </c>
      <c r="AD328" s="42">
        <v>43152</v>
      </c>
      <c r="AE328" s="53" t="s">
        <v>51</v>
      </c>
      <c r="AF328" s="54" t="s">
        <v>35</v>
      </c>
      <c r="AG328" s="54"/>
      <c r="AH328" s="39" t="s">
        <v>52</v>
      </c>
      <c r="AI328" s="39" t="s">
        <v>52</v>
      </c>
    </row>
    <row r="329" spans="1:35" ht="17" x14ac:dyDescent="0.2">
      <c r="A329">
        <v>560</v>
      </c>
      <c r="B329">
        <v>389</v>
      </c>
      <c r="C329" t="s">
        <v>5808</v>
      </c>
      <c r="D329" s="39" t="s">
        <v>2356</v>
      </c>
      <c r="E329" s="39" t="s">
        <v>2357</v>
      </c>
      <c r="F329" s="39" t="s">
        <v>35</v>
      </c>
      <c r="G329" s="39" t="s">
        <v>36</v>
      </c>
      <c r="I329" s="39" t="s">
        <v>2358</v>
      </c>
      <c r="J329" s="39" t="s">
        <v>35</v>
      </c>
      <c r="K329" t="s">
        <v>2359</v>
      </c>
      <c r="L329" t="s">
        <v>1044</v>
      </c>
      <c r="M329" s="6" t="s">
        <v>5998</v>
      </c>
      <c r="N329" t="s">
        <v>131</v>
      </c>
      <c r="O329" t="s">
        <v>49</v>
      </c>
      <c r="P329" s="35" t="s">
        <v>50</v>
      </c>
      <c r="Q329" t="s">
        <v>62</v>
      </c>
      <c r="R329" t="s">
        <v>2360</v>
      </c>
      <c r="S329" s="6" t="s">
        <v>6218</v>
      </c>
      <c r="T329" s="43" t="s">
        <v>494</v>
      </c>
      <c r="U329" s="43" t="s">
        <v>494</v>
      </c>
      <c r="V329" t="s">
        <v>49</v>
      </c>
      <c r="W329" s="57"/>
      <c r="X329" s="57"/>
      <c r="Y329" t="s">
        <v>50</v>
      </c>
      <c r="Z329" s="39"/>
      <c r="AA329" s="39"/>
      <c r="AB329" t="s">
        <v>62</v>
      </c>
      <c r="AE329" s="53" t="s">
        <v>51</v>
      </c>
      <c r="AF329" s="54" t="s">
        <v>35</v>
      </c>
      <c r="AG329" s="54"/>
      <c r="AH329" s="39" t="s">
        <v>52</v>
      </c>
      <c r="AI329" s="39" t="s">
        <v>52</v>
      </c>
    </row>
    <row r="330" spans="1:35" ht="17" x14ac:dyDescent="0.2">
      <c r="A330">
        <v>286</v>
      </c>
      <c r="B330">
        <v>486</v>
      </c>
      <c r="C330" t="s">
        <v>4671</v>
      </c>
      <c r="D330" s="39" t="s">
        <v>2786</v>
      </c>
      <c r="E330" s="39" t="s">
        <v>2357</v>
      </c>
      <c r="F330" s="39" t="s">
        <v>35</v>
      </c>
      <c r="G330" s="39" t="s">
        <v>36</v>
      </c>
      <c r="I330" s="39" t="s">
        <v>2787</v>
      </c>
      <c r="J330" s="39" t="s">
        <v>2788</v>
      </c>
      <c r="K330" t="s">
        <v>2789</v>
      </c>
      <c r="L330" t="s">
        <v>2790</v>
      </c>
      <c r="M330" s="6" t="s">
        <v>5999</v>
      </c>
      <c r="N330" t="s">
        <v>59</v>
      </c>
      <c r="O330" t="s">
        <v>49</v>
      </c>
      <c r="P330" s="35" t="s">
        <v>50</v>
      </c>
      <c r="Q330" t="s">
        <v>76</v>
      </c>
      <c r="R330" t="s">
        <v>1840</v>
      </c>
      <c r="S330" s="6" t="s">
        <v>6219</v>
      </c>
      <c r="T330" s="43" t="s">
        <v>2791</v>
      </c>
      <c r="U330" s="43" t="s">
        <v>1907</v>
      </c>
      <c r="V330" t="s">
        <v>123</v>
      </c>
      <c r="W330" s="57"/>
      <c r="X330" s="57"/>
      <c r="Y330" t="s">
        <v>99</v>
      </c>
      <c r="Z330" s="39"/>
      <c r="AA330" s="39"/>
      <c r="AB330" t="s">
        <v>76</v>
      </c>
      <c r="AC330" s="42">
        <v>38860</v>
      </c>
      <c r="AD330" s="42">
        <v>39882</v>
      </c>
      <c r="AE330" s="53" t="s">
        <v>51</v>
      </c>
      <c r="AF330" s="54" t="s">
        <v>35</v>
      </c>
      <c r="AG330" s="54"/>
      <c r="AH330" s="39" t="s">
        <v>52</v>
      </c>
      <c r="AI330" s="39" t="s">
        <v>52</v>
      </c>
    </row>
    <row r="331" spans="1:35" ht="17" x14ac:dyDescent="0.2">
      <c r="A331">
        <v>498</v>
      </c>
      <c r="B331">
        <v>496</v>
      </c>
      <c r="C331" t="s">
        <v>4675</v>
      </c>
      <c r="D331" s="39" t="s">
        <v>2836</v>
      </c>
      <c r="E331" s="39" t="s">
        <v>2357</v>
      </c>
      <c r="F331" s="39" t="s">
        <v>35</v>
      </c>
      <c r="G331" s="39" t="s">
        <v>36</v>
      </c>
      <c r="I331" s="39" t="s">
        <v>2837</v>
      </c>
      <c r="J331" s="39" t="s">
        <v>35</v>
      </c>
      <c r="K331" t="s">
        <v>2838</v>
      </c>
      <c r="L331" t="s">
        <v>2839</v>
      </c>
      <c r="M331" s="6" t="s">
        <v>4495</v>
      </c>
      <c r="N331" t="s">
        <v>97</v>
      </c>
      <c r="O331" t="s">
        <v>42</v>
      </c>
      <c r="P331" s="35" t="s">
        <v>43</v>
      </c>
      <c r="Q331" t="s">
        <v>44</v>
      </c>
      <c r="R331" t="s">
        <v>1867</v>
      </c>
      <c r="S331" s="6" t="s">
        <v>3555</v>
      </c>
      <c r="T331" s="43" t="s">
        <v>418</v>
      </c>
      <c r="U331" s="43" t="s">
        <v>755</v>
      </c>
      <c r="V331" t="s">
        <v>49</v>
      </c>
      <c r="W331" s="57"/>
      <c r="X331" s="57"/>
      <c r="Y331" t="s">
        <v>50</v>
      </c>
      <c r="Z331" s="39"/>
      <c r="AA331" s="39"/>
      <c r="AB331" t="s">
        <v>44</v>
      </c>
      <c r="AC331" s="42">
        <v>43497</v>
      </c>
      <c r="AD331" s="42">
        <v>44773</v>
      </c>
      <c r="AE331" s="53" t="s">
        <v>51</v>
      </c>
      <c r="AF331" s="54" t="s">
        <v>35</v>
      </c>
      <c r="AG331" s="54"/>
      <c r="AH331" s="39" t="s">
        <v>52</v>
      </c>
      <c r="AI331" s="39" t="s">
        <v>52</v>
      </c>
    </row>
    <row r="332" spans="1:35" ht="17" x14ac:dyDescent="0.2">
      <c r="A332">
        <v>644</v>
      </c>
      <c r="B332">
        <v>446</v>
      </c>
      <c r="C332" t="s">
        <v>5816</v>
      </c>
      <c r="D332" s="39" t="s">
        <v>2610</v>
      </c>
      <c r="E332" s="39" t="s">
        <v>2611</v>
      </c>
      <c r="F332" s="39" t="s">
        <v>35</v>
      </c>
      <c r="G332" s="39" t="s">
        <v>259</v>
      </c>
      <c r="I332" s="39" t="s">
        <v>2612</v>
      </c>
      <c r="J332" s="39" t="s">
        <v>35</v>
      </c>
      <c r="K332" t="s">
        <v>2613</v>
      </c>
      <c r="L332" t="s">
        <v>2614</v>
      </c>
      <c r="M332" s="6" t="s">
        <v>3717</v>
      </c>
      <c r="N332" t="s">
        <v>131</v>
      </c>
      <c r="O332" t="s">
        <v>49</v>
      </c>
      <c r="P332" s="35" t="s">
        <v>50</v>
      </c>
      <c r="Q332" t="s">
        <v>35</v>
      </c>
      <c r="R332" t="s">
        <v>263</v>
      </c>
      <c r="S332" s="6" t="s">
        <v>3476</v>
      </c>
      <c r="T332" s="43" t="s">
        <v>213</v>
      </c>
      <c r="U332" s="43" t="s">
        <v>459</v>
      </c>
      <c r="V332" t="s">
        <v>49</v>
      </c>
      <c r="W332" s="57"/>
      <c r="X332" s="57"/>
      <c r="Y332" t="s">
        <v>50</v>
      </c>
      <c r="Z332" s="39"/>
      <c r="AA332" s="39"/>
      <c r="AB332" t="s">
        <v>44</v>
      </c>
      <c r="AE332" s="53" t="s">
        <v>51</v>
      </c>
      <c r="AF332" s="54" t="s">
        <v>35</v>
      </c>
      <c r="AG332" s="54"/>
      <c r="AH332" s="39" t="s">
        <v>52</v>
      </c>
      <c r="AI332" s="39" t="s">
        <v>52</v>
      </c>
    </row>
    <row r="333" spans="1:35" ht="17" x14ac:dyDescent="0.2">
      <c r="A333">
        <v>545</v>
      </c>
      <c r="B333">
        <v>253</v>
      </c>
      <c r="C333" t="s">
        <v>4678</v>
      </c>
      <c r="D333" s="39" t="s">
        <v>1672</v>
      </c>
      <c r="E333" s="39" t="s">
        <v>1673</v>
      </c>
      <c r="F333" s="39" t="s">
        <v>35</v>
      </c>
      <c r="G333" s="39" t="s">
        <v>36</v>
      </c>
      <c r="H333" s="34"/>
      <c r="I333" s="39" t="s">
        <v>1674</v>
      </c>
      <c r="J333" s="39" t="s">
        <v>1675</v>
      </c>
      <c r="K333" t="s">
        <v>1676</v>
      </c>
      <c r="L333" t="s">
        <v>1677</v>
      </c>
      <c r="M333" s="6" t="s">
        <v>51</v>
      </c>
      <c r="N333" t="s">
        <v>86</v>
      </c>
      <c r="O333" t="s">
        <v>639</v>
      </c>
      <c r="P333" s="35" t="s">
        <v>640</v>
      </c>
      <c r="Q333" t="s">
        <v>115</v>
      </c>
      <c r="R333" t="s">
        <v>1384</v>
      </c>
      <c r="S333" s="6" t="s">
        <v>40</v>
      </c>
      <c r="T333" s="43" t="s">
        <v>878</v>
      </c>
      <c r="U333" s="43" t="s">
        <v>936</v>
      </c>
      <c r="V333" t="s">
        <v>639</v>
      </c>
      <c r="W333" s="57"/>
      <c r="X333" s="57"/>
      <c r="Y333" t="s">
        <v>640</v>
      </c>
      <c r="Z333" s="39"/>
      <c r="AA333" s="39"/>
      <c r="AB333" t="s">
        <v>62</v>
      </c>
      <c r="AC333" s="42">
        <v>43840</v>
      </c>
      <c r="AD333" s="42" t="s">
        <v>1678</v>
      </c>
      <c r="AE333" s="53" t="s">
        <v>51</v>
      </c>
      <c r="AF333" s="54" t="s">
        <v>35</v>
      </c>
      <c r="AG333" s="54"/>
      <c r="AH333" s="39" t="s">
        <v>52</v>
      </c>
      <c r="AI333" s="39" t="s">
        <v>52</v>
      </c>
    </row>
    <row r="334" spans="1:35" ht="102" x14ac:dyDescent="0.2">
      <c r="A334" t="s">
        <v>35</v>
      </c>
      <c r="B334">
        <v>417</v>
      </c>
      <c r="C334" t="s">
        <v>4680</v>
      </c>
      <c r="D334" s="39" t="s">
        <v>2485</v>
      </c>
      <c r="E334" s="39" t="s">
        <v>2486</v>
      </c>
      <c r="F334" s="39" t="s">
        <v>35</v>
      </c>
      <c r="G334" s="39" t="s">
        <v>259</v>
      </c>
      <c r="I334" s="39" t="s">
        <v>2487</v>
      </c>
      <c r="J334" s="39" t="s">
        <v>35</v>
      </c>
      <c r="K334" t="s">
        <v>2488</v>
      </c>
      <c r="L334" t="s">
        <v>2489</v>
      </c>
      <c r="M334" s="6" t="s">
        <v>4673</v>
      </c>
      <c r="N334" t="s">
        <v>59</v>
      </c>
      <c r="O334" t="s">
        <v>42</v>
      </c>
      <c r="P334" s="35" t="s">
        <v>43</v>
      </c>
      <c r="Q334" t="s">
        <v>35</v>
      </c>
      <c r="R334" t="s">
        <v>1384</v>
      </c>
      <c r="S334" s="6" t="s">
        <v>4674</v>
      </c>
      <c r="T334" s="43" t="s">
        <v>213</v>
      </c>
      <c r="U334" s="43" t="s">
        <v>940</v>
      </c>
      <c r="V334" t="s">
        <v>60</v>
      </c>
      <c r="W334" s="57"/>
      <c r="X334" s="57"/>
      <c r="Y334" t="s">
        <v>61</v>
      </c>
      <c r="Z334" s="39"/>
      <c r="AA334" s="39"/>
      <c r="AB334" t="s">
        <v>62</v>
      </c>
      <c r="AC334" s="42">
        <v>44206</v>
      </c>
      <c r="AD334" s="42">
        <v>44835</v>
      </c>
      <c r="AE334" s="53" t="s">
        <v>51</v>
      </c>
      <c r="AF334" s="54" t="s">
        <v>35</v>
      </c>
      <c r="AG334" s="54"/>
      <c r="AH334" s="39" t="s">
        <v>52</v>
      </c>
      <c r="AI334" s="39" t="s">
        <v>52</v>
      </c>
    </row>
    <row r="335" spans="1:35" ht="17" x14ac:dyDescent="0.2">
      <c r="B335">
        <v>609</v>
      </c>
      <c r="C335" t="s">
        <v>5841</v>
      </c>
      <c r="D335" s="39" t="s">
        <v>3390</v>
      </c>
      <c r="E335" s="39" t="s">
        <v>3391</v>
      </c>
      <c r="F335" s="39" t="s">
        <v>35</v>
      </c>
      <c r="G335" s="39" t="s">
        <v>160</v>
      </c>
      <c r="I335" s="39" t="s">
        <v>3392</v>
      </c>
      <c r="J335" s="39" t="s">
        <v>35</v>
      </c>
      <c r="K335" t="s">
        <v>3393</v>
      </c>
      <c r="L335" t="s">
        <v>1447</v>
      </c>
      <c r="M335" s="6" t="s">
        <v>212</v>
      </c>
      <c r="N335" t="s">
        <v>41</v>
      </c>
      <c r="O335" t="s">
        <v>49</v>
      </c>
      <c r="P335" s="35" t="s">
        <v>50</v>
      </c>
      <c r="Q335" t="s">
        <v>44</v>
      </c>
      <c r="R335" t="s">
        <v>171</v>
      </c>
      <c r="S335" s="6" t="s">
        <v>4677</v>
      </c>
      <c r="T335" s="43" t="s">
        <v>409</v>
      </c>
      <c r="U335" s="43" t="s">
        <v>47</v>
      </c>
      <c r="V335" t="s">
        <v>49</v>
      </c>
      <c r="W335" s="57"/>
      <c r="X335" s="57"/>
      <c r="Y335" t="s">
        <v>50</v>
      </c>
      <c r="Z335" s="39"/>
      <c r="AA335" s="39"/>
      <c r="AB335" t="s">
        <v>44</v>
      </c>
      <c r="AE335" s="53"/>
      <c r="AF335" s="54" t="s">
        <v>35</v>
      </c>
      <c r="AG335" s="54"/>
      <c r="AH335" s="39" t="s">
        <v>52</v>
      </c>
      <c r="AI335" s="39" t="s">
        <v>52</v>
      </c>
    </row>
    <row r="336" spans="1:35" ht="17" x14ac:dyDescent="0.2">
      <c r="A336" t="s">
        <v>35</v>
      </c>
      <c r="B336">
        <v>136</v>
      </c>
      <c r="C336" t="s">
        <v>4688</v>
      </c>
      <c r="D336" s="39" t="s">
        <v>1021</v>
      </c>
      <c r="E336" s="39" t="s">
        <v>1022</v>
      </c>
      <c r="F336" s="39" t="s">
        <v>35</v>
      </c>
      <c r="G336" s="39" t="s">
        <v>36</v>
      </c>
      <c r="H336" s="34"/>
      <c r="I336" s="39" t="s">
        <v>1023</v>
      </c>
      <c r="J336" s="39" t="s">
        <v>35</v>
      </c>
      <c r="K336" t="s">
        <v>1024</v>
      </c>
      <c r="L336" s="49" t="s">
        <v>1025</v>
      </c>
      <c r="M336" s="6" t="s">
        <v>51</v>
      </c>
      <c r="N336" t="s">
        <v>59</v>
      </c>
      <c r="O336" t="s">
        <v>565</v>
      </c>
      <c r="P336" s="35" t="s">
        <v>566</v>
      </c>
      <c r="Q336" t="s">
        <v>35</v>
      </c>
      <c r="R336" t="s">
        <v>1026</v>
      </c>
      <c r="S336" s="6" t="s">
        <v>212</v>
      </c>
      <c r="T336" s="43" t="s">
        <v>238</v>
      </c>
      <c r="U336" s="43" t="s">
        <v>1027</v>
      </c>
      <c r="V336" t="s">
        <v>49</v>
      </c>
      <c r="W336" s="57"/>
      <c r="X336" s="57"/>
      <c r="Y336" t="s">
        <v>50</v>
      </c>
      <c r="Z336" s="39"/>
      <c r="AA336" s="39"/>
      <c r="AB336" t="s">
        <v>558</v>
      </c>
      <c r="AC336" s="42">
        <v>42513</v>
      </c>
      <c r="AD336" s="42">
        <v>43157</v>
      </c>
      <c r="AE336" s="53" t="s">
        <v>290</v>
      </c>
      <c r="AF336" s="54" t="s">
        <v>35</v>
      </c>
      <c r="AG336" s="54"/>
      <c r="AH336" s="39" t="s">
        <v>52</v>
      </c>
      <c r="AI336" s="39" t="s">
        <v>52</v>
      </c>
    </row>
    <row r="337" spans="1:35" ht="17" x14ac:dyDescent="0.2">
      <c r="A337">
        <v>333</v>
      </c>
      <c r="B337">
        <v>165</v>
      </c>
      <c r="C337" t="s">
        <v>4690</v>
      </c>
      <c r="D337" s="39" t="s">
        <v>1182</v>
      </c>
      <c r="E337" s="39" t="s">
        <v>1183</v>
      </c>
      <c r="F337" s="39" t="s">
        <v>35</v>
      </c>
      <c r="G337" s="39" t="s">
        <v>55</v>
      </c>
      <c r="I337" s="39" t="s">
        <v>1184</v>
      </c>
      <c r="J337" s="39" t="s">
        <v>35</v>
      </c>
      <c r="K337" t="s">
        <v>1185</v>
      </c>
      <c r="L337" s="49" t="s">
        <v>1186</v>
      </c>
      <c r="M337" s="6" t="s">
        <v>6000</v>
      </c>
      <c r="P337" s="35"/>
      <c r="Q337" t="s">
        <v>35</v>
      </c>
      <c r="R337" t="s">
        <v>1187</v>
      </c>
      <c r="S337" s="6" t="s">
        <v>3901</v>
      </c>
      <c r="T337" s="43" t="s">
        <v>1106</v>
      </c>
      <c r="U337" s="43" t="s">
        <v>254</v>
      </c>
      <c r="V337" t="s">
        <v>42</v>
      </c>
      <c r="W337" s="57"/>
      <c r="X337" s="57"/>
      <c r="Y337" t="s">
        <v>43</v>
      </c>
      <c r="Z337" s="39"/>
      <c r="AA337" s="39"/>
      <c r="AB337" t="s">
        <v>44</v>
      </c>
      <c r="AC337" s="42">
        <v>40323</v>
      </c>
      <c r="AD337" s="42">
        <v>40513</v>
      </c>
      <c r="AE337" s="53" t="s">
        <v>51</v>
      </c>
      <c r="AF337" s="54" t="s">
        <v>35</v>
      </c>
      <c r="AG337" s="54"/>
      <c r="AH337" s="39" t="s">
        <v>52</v>
      </c>
      <c r="AI337" s="39" t="s">
        <v>52</v>
      </c>
    </row>
    <row r="338" spans="1:35" ht="17" x14ac:dyDescent="0.2">
      <c r="A338">
        <v>494</v>
      </c>
      <c r="B338">
        <v>378</v>
      </c>
      <c r="C338" t="s">
        <v>4693</v>
      </c>
      <c r="D338" s="39" t="s">
        <v>2294</v>
      </c>
      <c r="E338" s="39" t="s">
        <v>2295</v>
      </c>
      <c r="F338" s="39" t="s">
        <v>35</v>
      </c>
      <c r="G338" s="39" t="s">
        <v>36</v>
      </c>
      <c r="I338" s="39" t="s">
        <v>35</v>
      </c>
      <c r="J338" s="39" t="s">
        <v>35</v>
      </c>
      <c r="K338" t="s">
        <v>2296</v>
      </c>
      <c r="L338" t="s">
        <v>2297</v>
      </c>
      <c r="M338" s="6" t="s">
        <v>3820</v>
      </c>
      <c r="N338" t="s">
        <v>59</v>
      </c>
      <c r="O338" t="s">
        <v>42</v>
      </c>
      <c r="P338" s="35" t="s">
        <v>43</v>
      </c>
      <c r="Q338" t="s">
        <v>100</v>
      </c>
      <c r="R338" t="s">
        <v>2298</v>
      </c>
      <c r="S338" s="6" t="s">
        <v>3461</v>
      </c>
      <c r="T338" s="43" t="s">
        <v>1877</v>
      </c>
      <c r="U338" s="43" t="s">
        <v>126</v>
      </c>
      <c r="V338" t="s">
        <v>2299</v>
      </c>
      <c r="W338" s="57"/>
      <c r="X338" s="57"/>
      <c r="Y338" t="s">
        <v>99</v>
      </c>
      <c r="Z338" s="39"/>
      <c r="AA338" s="39"/>
      <c r="AB338" t="s">
        <v>44</v>
      </c>
      <c r="AC338" s="42">
        <v>43626</v>
      </c>
      <c r="AE338" s="53" t="s">
        <v>51</v>
      </c>
      <c r="AF338" s="54" t="s">
        <v>35</v>
      </c>
      <c r="AG338" s="54"/>
      <c r="AH338" s="39" t="s">
        <v>52</v>
      </c>
      <c r="AI338" s="39" t="s">
        <v>52</v>
      </c>
    </row>
    <row r="339" spans="1:35" ht="17" x14ac:dyDescent="0.2">
      <c r="A339">
        <v>502</v>
      </c>
      <c r="B339">
        <v>64</v>
      </c>
      <c r="C339" t="s">
        <v>4695</v>
      </c>
      <c r="D339" s="39" t="s">
        <v>537</v>
      </c>
      <c r="E339" s="39" t="s">
        <v>542</v>
      </c>
      <c r="F339" s="39" t="s">
        <v>35</v>
      </c>
      <c r="G339" s="39" t="s">
        <v>36</v>
      </c>
      <c r="I339" s="39" t="s">
        <v>543</v>
      </c>
      <c r="J339" s="39" t="s">
        <v>35</v>
      </c>
      <c r="K339" t="s">
        <v>544</v>
      </c>
      <c r="L339" s="49" t="s">
        <v>545</v>
      </c>
      <c r="M339" s="6" t="s">
        <v>6001</v>
      </c>
      <c r="N339" s="38" t="s">
        <v>97</v>
      </c>
      <c r="O339" t="s">
        <v>190</v>
      </c>
      <c r="P339" s="35" t="s">
        <v>191</v>
      </c>
      <c r="Q339" t="s">
        <v>100</v>
      </c>
      <c r="R339" t="s">
        <v>546</v>
      </c>
      <c r="S339" s="6" t="s">
        <v>6220</v>
      </c>
      <c r="T339" s="43" t="s">
        <v>246</v>
      </c>
      <c r="U339" s="43" t="s">
        <v>246</v>
      </c>
      <c r="V339" t="s">
        <v>190</v>
      </c>
      <c r="W339" s="57"/>
      <c r="X339" s="57"/>
      <c r="Y339" t="s">
        <v>191</v>
      </c>
      <c r="Z339" s="39"/>
      <c r="AA339" s="39"/>
      <c r="AB339" t="s">
        <v>100</v>
      </c>
      <c r="AC339" s="42">
        <v>43834</v>
      </c>
      <c r="AD339" s="42">
        <v>44754</v>
      </c>
      <c r="AE339" s="53" t="s">
        <v>69</v>
      </c>
      <c r="AF339" s="54" t="s">
        <v>35</v>
      </c>
      <c r="AG339" s="54"/>
      <c r="AH339" s="39" t="s">
        <v>52</v>
      </c>
      <c r="AI339" s="39" t="s">
        <v>70</v>
      </c>
    </row>
    <row r="340" spans="1:35" ht="17" customHeight="1" x14ac:dyDescent="0.2">
      <c r="A340">
        <v>162</v>
      </c>
      <c r="B340">
        <v>509</v>
      </c>
      <c r="C340" t="s">
        <v>4702</v>
      </c>
      <c r="D340" s="39" t="s">
        <v>2902</v>
      </c>
      <c r="E340" s="39" t="s">
        <v>2903</v>
      </c>
      <c r="F340" s="39" t="s">
        <v>35</v>
      </c>
      <c r="G340" s="39" t="s">
        <v>205</v>
      </c>
      <c r="I340" s="39" t="s">
        <v>2904</v>
      </c>
      <c r="J340" s="39" t="s">
        <v>2905</v>
      </c>
      <c r="K340" t="s">
        <v>2906</v>
      </c>
      <c r="L340" t="s">
        <v>551</v>
      </c>
      <c r="M340" s="6" t="s">
        <v>6002</v>
      </c>
      <c r="N340" t="s">
        <v>59</v>
      </c>
      <c r="O340" t="s">
        <v>49</v>
      </c>
      <c r="P340" s="35" t="s">
        <v>50</v>
      </c>
      <c r="Q340" t="s">
        <v>44</v>
      </c>
      <c r="R340" t="s">
        <v>2907</v>
      </c>
      <c r="S340" s="6" t="s">
        <v>4011</v>
      </c>
      <c r="T340" s="43" t="s">
        <v>714</v>
      </c>
      <c r="U340" s="43" t="s">
        <v>779</v>
      </c>
      <c r="V340" t="s">
        <v>49</v>
      </c>
      <c r="W340" s="57"/>
      <c r="X340" s="57"/>
      <c r="Y340" t="s">
        <v>50</v>
      </c>
      <c r="Z340" s="39"/>
      <c r="AA340" s="39"/>
      <c r="AB340" t="s">
        <v>115</v>
      </c>
      <c r="AC340" s="42">
        <v>36655</v>
      </c>
      <c r="AD340" s="42">
        <v>37823</v>
      </c>
      <c r="AE340" s="53" t="s">
        <v>453</v>
      </c>
      <c r="AF340" s="54" t="s">
        <v>35</v>
      </c>
      <c r="AG340" s="54"/>
      <c r="AH340" s="39" t="s">
        <v>70</v>
      </c>
      <c r="AI340" s="39" t="s">
        <v>52</v>
      </c>
    </row>
    <row r="341" spans="1:35" ht="17" x14ac:dyDescent="0.2">
      <c r="A341">
        <v>291</v>
      </c>
      <c r="B341">
        <v>28</v>
      </c>
      <c r="C341" t="s">
        <v>4704</v>
      </c>
      <c r="D341" s="39" t="s">
        <v>293</v>
      </c>
      <c r="E341" s="39" t="s">
        <v>294</v>
      </c>
      <c r="F341" s="39" t="s">
        <v>35</v>
      </c>
      <c r="G341" s="39" t="s">
        <v>55</v>
      </c>
      <c r="I341" s="39" t="s">
        <v>295</v>
      </c>
      <c r="J341" s="39" t="s">
        <v>35</v>
      </c>
      <c r="K341" t="s">
        <v>296</v>
      </c>
      <c r="L341" t="s">
        <v>297</v>
      </c>
      <c r="M341" s="6" t="s">
        <v>35</v>
      </c>
      <c r="N341" t="s">
        <v>86</v>
      </c>
      <c r="O341" t="s">
        <v>49</v>
      </c>
      <c r="P341" s="35" t="s">
        <v>50</v>
      </c>
      <c r="Q341" t="s">
        <v>132</v>
      </c>
      <c r="R341" t="s">
        <v>298</v>
      </c>
      <c r="S341" s="6" t="s">
        <v>35</v>
      </c>
      <c r="T341" s="43" t="s">
        <v>299</v>
      </c>
      <c r="U341" s="43" t="s">
        <v>300</v>
      </c>
      <c r="W341" s="57"/>
      <c r="X341" s="57"/>
      <c r="AB341" t="s">
        <v>132</v>
      </c>
      <c r="AC341" s="42">
        <v>39098</v>
      </c>
      <c r="AD341" s="42">
        <v>39882</v>
      </c>
      <c r="AE341" s="53" t="s">
        <v>116</v>
      </c>
      <c r="AF341" s="54" t="s">
        <v>35</v>
      </c>
      <c r="AG341" s="54"/>
      <c r="AH341" s="39" t="s">
        <v>70</v>
      </c>
      <c r="AI341" s="39" t="s">
        <v>52</v>
      </c>
    </row>
    <row r="342" spans="1:35" ht="17" x14ac:dyDescent="0.2">
      <c r="A342">
        <v>455</v>
      </c>
      <c r="B342">
        <v>92</v>
      </c>
      <c r="C342" t="s">
        <v>4709</v>
      </c>
      <c r="D342" s="39" t="s">
        <v>724</v>
      </c>
      <c r="E342" s="39" t="s">
        <v>294</v>
      </c>
      <c r="F342" s="39" t="s">
        <v>35</v>
      </c>
      <c r="G342" s="39" t="s">
        <v>36</v>
      </c>
      <c r="I342" s="39" t="s">
        <v>725</v>
      </c>
      <c r="J342" s="39" t="s">
        <v>35</v>
      </c>
      <c r="K342" t="s">
        <v>726</v>
      </c>
      <c r="L342" s="49" t="s">
        <v>727</v>
      </c>
      <c r="M342" s="6" t="s">
        <v>2889</v>
      </c>
      <c r="N342" t="s">
        <v>86</v>
      </c>
      <c r="O342" t="s">
        <v>49</v>
      </c>
      <c r="P342" s="35" t="s">
        <v>50</v>
      </c>
      <c r="Q342" t="s">
        <v>728</v>
      </c>
      <c r="R342" t="s">
        <v>58</v>
      </c>
      <c r="S342" s="6" t="s">
        <v>4692</v>
      </c>
      <c r="T342" s="43" t="s">
        <v>729</v>
      </c>
      <c r="U342" s="43" t="s">
        <v>719</v>
      </c>
      <c r="V342" t="s">
        <v>49</v>
      </c>
      <c r="W342" s="57"/>
      <c r="X342" s="57"/>
      <c r="Y342" t="s">
        <v>50</v>
      </c>
      <c r="Z342" s="39"/>
      <c r="AA342" s="39"/>
      <c r="AB342" t="s">
        <v>62</v>
      </c>
      <c r="AC342" s="42">
        <v>43115</v>
      </c>
      <c r="AD342" s="42">
        <v>43731</v>
      </c>
      <c r="AE342" s="53" t="s">
        <v>730</v>
      </c>
      <c r="AF342" s="54" t="s">
        <v>35</v>
      </c>
      <c r="AG342" s="54"/>
      <c r="AH342" s="39" t="s">
        <v>52</v>
      </c>
      <c r="AI342" s="39" t="s">
        <v>52</v>
      </c>
    </row>
    <row r="343" spans="1:35" ht="17" x14ac:dyDescent="0.2">
      <c r="A343">
        <v>314</v>
      </c>
      <c r="B343">
        <v>175</v>
      </c>
      <c r="C343" t="s">
        <v>4712</v>
      </c>
      <c r="D343" s="39" t="s">
        <v>1231</v>
      </c>
      <c r="E343" s="39" t="s">
        <v>294</v>
      </c>
      <c r="F343" s="39" t="s">
        <v>35</v>
      </c>
      <c r="G343" s="39" t="s">
        <v>55</v>
      </c>
      <c r="H343" s="34"/>
      <c r="I343" s="39" t="s">
        <v>1232</v>
      </c>
      <c r="J343" s="39" t="s">
        <v>35</v>
      </c>
      <c r="K343" t="s">
        <v>1233</v>
      </c>
      <c r="L343" s="49" t="s">
        <v>1234</v>
      </c>
      <c r="M343" s="6" t="s">
        <v>6003</v>
      </c>
      <c r="N343" t="s">
        <v>59</v>
      </c>
      <c r="O343" t="s">
        <v>49</v>
      </c>
      <c r="P343" s="35" t="s">
        <v>50</v>
      </c>
      <c r="Q343" t="s">
        <v>44</v>
      </c>
      <c r="R343" t="s">
        <v>521</v>
      </c>
      <c r="S343" s="6" t="s">
        <v>3773</v>
      </c>
      <c r="T343" s="43" t="s">
        <v>1235</v>
      </c>
      <c r="U343" s="43" t="s">
        <v>1236</v>
      </c>
      <c r="V343" t="s">
        <v>49</v>
      </c>
      <c r="W343" s="57"/>
      <c r="X343" s="57"/>
      <c r="Y343" t="s">
        <v>50</v>
      </c>
      <c r="Z343" s="39"/>
      <c r="AA343" s="39"/>
      <c r="AB343" t="s">
        <v>35</v>
      </c>
      <c r="AC343" s="42">
        <v>39518</v>
      </c>
      <c r="AD343" s="42">
        <v>40190</v>
      </c>
      <c r="AE343" s="53" t="s">
        <v>51</v>
      </c>
      <c r="AF343" s="54" t="s">
        <v>35</v>
      </c>
      <c r="AG343" s="54"/>
      <c r="AH343" s="39" t="s">
        <v>52</v>
      </c>
      <c r="AI343" s="39" t="s">
        <v>52</v>
      </c>
    </row>
    <row r="344" spans="1:35" ht="17" x14ac:dyDescent="0.2">
      <c r="A344">
        <v>510</v>
      </c>
      <c r="B344">
        <v>276</v>
      </c>
      <c r="C344" t="s">
        <v>4717</v>
      </c>
      <c r="D344" s="39" t="s">
        <v>1764</v>
      </c>
      <c r="E344" s="39" t="s">
        <v>294</v>
      </c>
      <c r="F344" s="39" t="s">
        <v>35</v>
      </c>
      <c r="G344" s="39" t="s">
        <v>160</v>
      </c>
      <c r="I344" s="39" t="s">
        <v>1765</v>
      </c>
      <c r="J344" s="39" t="s">
        <v>1766</v>
      </c>
      <c r="K344" t="s">
        <v>1767</v>
      </c>
      <c r="L344" t="s">
        <v>1768</v>
      </c>
      <c r="M344" s="6" t="s">
        <v>6004</v>
      </c>
      <c r="N344" s="41" t="s">
        <v>86</v>
      </c>
      <c r="O344" t="s">
        <v>49</v>
      </c>
      <c r="P344" s="35" t="s">
        <v>50</v>
      </c>
      <c r="Q344" t="s">
        <v>558</v>
      </c>
      <c r="R344" t="s">
        <v>844</v>
      </c>
      <c r="S344" s="6" t="s">
        <v>3773</v>
      </c>
      <c r="T344" s="43" t="s">
        <v>47</v>
      </c>
      <c r="U344" s="43" t="s">
        <v>494</v>
      </c>
      <c r="V344" t="s">
        <v>49</v>
      </c>
      <c r="W344" s="57"/>
      <c r="X344" s="57"/>
      <c r="Y344" t="s">
        <v>50</v>
      </c>
      <c r="Z344" s="39"/>
      <c r="AA344" s="39"/>
      <c r="AB344" t="s">
        <v>115</v>
      </c>
      <c r="AC344" s="42">
        <v>42017</v>
      </c>
      <c r="AD344" s="42">
        <v>43282</v>
      </c>
      <c r="AE344" s="53" t="s">
        <v>730</v>
      </c>
      <c r="AF344" s="54" t="s">
        <v>403</v>
      </c>
      <c r="AG344" s="54"/>
      <c r="AH344" s="39" t="s">
        <v>52</v>
      </c>
      <c r="AI344" s="39" t="s">
        <v>70</v>
      </c>
    </row>
    <row r="345" spans="1:35" ht="17" x14ac:dyDescent="0.2">
      <c r="A345" t="s">
        <v>35</v>
      </c>
      <c r="B345">
        <v>256</v>
      </c>
      <c r="C345" t="s">
        <v>5793</v>
      </c>
      <c r="D345" s="39" t="s">
        <v>1682</v>
      </c>
      <c r="E345" s="39" t="s">
        <v>1687</v>
      </c>
      <c r="F345" s="39" t="s">
        <v>35</v>
      </c>
      <c r="G345" s="39" t="s">
        <v>36</v>
      </c>
      <c r="I345" s="39" t="s">
        <v>1688</v>
      </c>
      <c r="J345" s="39" t="s">
        <v>1684</v>
      </c>
      <c r="K345" t="s">
        <v>1685</v>
      </c>
      <c r="L345" t="s">
        <v>244</v>
      </c>
      <c r="M345" s="6" t="s">
        <v>6005</v>
      </c>
      <c r="N345" t="s">
        <v>131</v>
      </c>
      <c r="O345" t="s">
        <v>42</v>
      </c>
      <c r="P345" s="35" t="s">
        <v>43</v>
      </c>
      <c r="Q345" t="s">
        <v>44</v>
      </c>
      <c r="R345" t="s">
        <v>163</v>
      </c>
      <c r="S345" s="6" t="s">
        <v>3733</v>
      </c>
      <c r="T345" s="43" t="s">
        <v>494</v>
      </c>
      <c r="U345" s="43" t="s">
        <v>494</v>
      </c>
      <c r="W345" s="57"/>
      <c r="X345" s="57"/>
      <c r="Z345" s="39"/>
      <c r="AA345" s="39"/>
      <c r="AB345" t="s">
        <v>62</v>
      </c>
      <c r="AE345" s="53"/>
      <c r="AF345" s="54" t="s">
        <v>35</v>
      </c>
      <c r="AG345" s="54"/>
      <c r="AH345" s="39" t="s">
        <v>52</v>
      </c>
      <c r="AI345" s="39" t="s">
        <v>52</v>
      </c>
    </row>
    <row r="346" spans="1:35" ht="17" x14ac:dyDescent="0.2">
      <c r="B346">
        <v>255</v>
      </c>
      <c r="C346" t="s">
        <v>4721</v>
      </c>
      <c r="D346" s="39" t="s">
        <v>1682</v>
      </c>
      <c r="E346" s="39" t="s">
        <v>1683</v>
      </c>
      <c r="F346" s="39" t="s">
        <v>35</v>
      </c>
      <c r="G346" s="39" t="s">
        <v>36</v>
      </c>
      <c r="H346" s="34"/>
      <c r="I346" s="39" t="s">
        <v>1684</v>
      </c>
      <c r="J346" s="39" t="s">
        <v>35</v>
      </c>
      <c r="K346" t="s">
        <v>1685</v>
      </c>
      <c r="L346" t="s">
        <v>244</v>
      </c>
      <c r="M346" s="6" t="s">
        <v>3493</v>
      </c>
      <c r="N346" t="s">
        <v>97</v>
      </c>
      <c r="O346" t="s">
        <v>42</v>
      </c>
      <c r="P346" s="35" t="s">
        <v>43</v>
      </c>
      <c r="Q346" t="s">
        <v>44</v>
      </c>
      <c r="R346" t="s">
        <v>1686</v>
      </c>
      <c r="S346" s="6" t="s">
        <v>4708</v>
      </c>
      <c r="T346" s="43" t="s">
        <v>410</v>
      </c>
      <c r="U346" s="43" t="s">
        <v>102</v>
      </c>
      <c r="V346" t="s">
        <v>42</v>
      </c>
      <c r="W346" s="57"/>
      <c r="X346" s="57"/>
      <c r="Y346" t="s">
        <v>43</v>
      </c>
      <c r="Z346" s="39"/>
      <c r="AA346" s="39"/>
      <c r="AB346" t="s">
        <v>44</v>
      </c>
      <c r="AD346" s="42" t="s">
        <v>35</v>
      </c>
      <c r="AE346" s="53" t="s">
        <v>51</v>
      </c>
      <c r="AF346" s="54" t="s">
        <v>35</v>
      </c>
      <c r="AG346" s="54"/>
      <c r="AH346" s="39" t="s">
        <v>52</v>
      </c>
      <c r="AI346" s="39" t="s">
        <v>52</v>
      </c>
    </row>
    <row r="347" spans="1:35" ht="17" x14ac:dyDescent="0.2">
      <c r="A347" t="s">
        <v>35</v>
      </c>
      <c r="B347">
        <v>541</v>
      </c>
      <c r="C347" t="s">
        <v>5828</v>
      </c>
      <c r="D347" s="39" t="s">
        <v>3063</v>
      </c>
      <c r="E347" s="39" t="s">
        <v>3064</v>
      </c>
      <c r="F347" s="39" t="s">
        <v>258</v>
      </c>
      <c r="G347" s="39" t="s">
        <v>36</v>
      </c>
      <c r="H347" s="1"/>
      <c r="I347" s="39" t="s">
        <v>3065</v>
      </c>
      <c r="J347" s="39" t="s">
        <v>3066</v>
      </c>
      <c r="K347" t="s">
        <v>3067</v>
      </c>
      <c r="L347" t="s">
        <v>3068</v>
      </c>
      <c r="M347" s="6" t="s">
        <v>4079</v>
      </c>
      <c r="N347" t="s">
        <v>131</v>
      </c>
      <c r="O347" t="s">
        <v>3069</v>
      </c>
      <c r="P347" s="35" t="s">
        <v>99</v>
      </c>
      <c r="Q347" t="s">
        <v>44</v>
      </c>
      <c r="R347" t="s">
        <v>657</v>
      </c>
      <c r="S347" s="6" t="s">
        <v>4711</v>
      </c>
      <c r="T347" s="43" t="s">
        <v>213</v>
      </c>
      <c r="U347" s="43" t="s">
        <v>459</v>
      </c>
      <c r="V347" t="s">
        <v>123</v>
      </c>
      <c r="W347" s="57"/>
      <c r="X347" s="57"/>
      <c r="Y347" t="s">
        <v>99</v>
      </c>
      <c r="Z347" s="39"/>
      <c r="AA347" s="39"/>
      <c r="AB347" t="s">
        <v>44</v>
      </c>
      <c r="AC347" s="42">
        <v>43833</v>
      </c>
      <c r="AD347" s="42" t="s">
        <v>3070</v>
      </c>
      <c r="AE347" s="53" t="s">
        <v>51</v>
      </c>
      <c r="AF347" s="54" t="s">
        <v>35</v>
      </c>
      <c r="AG347" s="54"/>
      <c r="AH347" s="39" t="s">
        <v>52</v>
      </c>
      <c r="AI347" s="39" t="s">
        <v>52</v>
      </c>
    </row>
    <row r="348" spans="1:35" ht="17" x14ac:dyDescent="0.2">
      <c r="B348">
        <v>142</v>
      </c>
      <c r="C348" t="s">
        <v>4733</v>
      </c>
      <c r="D348" s="39" t="s">
        <v>1062</v>
      </c>
      <c r="E348" s="39" t="s">
        <v>1063</v>
      </c>
      <c r="F348" s="39" t="s">
        <v>35</v>
      </c>
      <c r="G348" s="39" t="s">
        <v>36</v>
      </c>
      <c r="I348" s="39" t="s">
        <v>1064</v>
      </c>
      <c r="J348" s="39" t="s">
        <v>35</v>
      </c>
      <c r="K348" t="s">
        <v>1065</v>
      </c>
      <c r="L348" s="49" t="s">
        <v>1066</v>
      </c>
      <c r="M348" s="6" t="s">
        <v>6006</v>
      </c>
      <c r="N348" t="s">
        <v>59</v>
      </c>
      <c r="P348" s="35"/>
      <c r="Q348" t="s">
        <v>44</v>
      </c>
      <c r="R348" t="s">
        <v>658</v>
      </c>
      <c r="S348" s="6" t="s">
        <v>6221</v>
      </c>
      <c r="T348" s="43" t="s">
        <v>48</v>
      </c>
      <c r="U348" s="43" t="s">
        <v>48</v>
      </c>
      <c r="W348" s="57"/>
      <c r="X348" s="57"/>
      <c r="Z348" s="39"/>
      <c r="AA348" s="39"/>
      <c r="AB348" t="s">
        <v>44</v>
      </c>
      <c r="AC348" s="42">
        <v>2018</v>
      </c>
      <c r="AD348" s="42">
        <v>2020</v>
      </c>
      <c r="AE348" s="53" t="s">
        <v>51</v>
      </c>
      <c r="AF348" s="54" t="s">
        <v>35</v>
      </c>
      <c r="AG348" s="54"/>
      <c r="AH348" s="39" t="s">
        <v>52</v>
      </c>
      <c r="AI348" s="39" t="s">
        <v>52</v>
      </c>
    </row>
    <row r="349" spans="1:35" ht="17" x14ac:dyDescent="0.2">
      <c r="A349">
        <v>462</v>
      </c>
      <c r="B349">
        <v>429</v>
      </c>
      <c r="C349" t="s">
        <v>4734</v>
      </c>
      <c r="D349" s="39" t="s">
        <v>2545</v>
      </c>
      <c r="E349" s="39" t="s">
        <v>1063</v>
      </c>
      <c r="F349" s="39" t="s">
        <v>35</v>
      </c>
      <c r="G349" s="39" t="s">
        <v>36</v>
      </c>
      <c r="H349" s="34"/>
      <c r="I349" s="39" t="s">
        <v>35</v>
      </c>
      <c r="J349" s="39" t="s">
        <v>35</v>
      </c>
      <c r="L349" t="s">
        <v>35</v>
      </c>
      <c r="M349" s="6" t="s">
        <v>6007</v>
      </c>
      <c r="P349" s="35"/>
      <c r="Q349" t="s">
        <v>35</v>
      </c>
      <c r="S349" s="6" t="s">
        <v>4720</v>
      </c>
      <c r="T349" s="43" t="s">
        <v>35</v>
      </c>
      <c r="U349" s="43" t="s">
        <v>35</v>
      </c>
      <c r="W349" s="57"/>
      <c r="X349" s="57"/>
      <c r="Z349" s="39"/>
      <c r="AA349" s="39"/>
      <c r="AB349" t="s">
        <v>35</v>
      </c>
      <c r="AC349" s="45">
        <v>43115</v>
      </c>
      <c r="AD349" s="45">
        <v>43631</v>
      </c>
      <c r="AE349" s="53" t="s">
        <v>51</v>
      </c>
      <c r="AF349" s="54" t="s">
        <v>35</v>
      </c>
      <c r="AG349" s="54"/>
      <c r="AH349" s="39" t="s">
        <v>52</v>
      </c>
      <c r="AI349" s="39" t="s">
        <v>52</v>
      </c>
    </row>
    <row r="350" spans="1:35" ht="17" x14ac:dyDescent="0.2">
      <c r="A350">
        <v>419</v>
      </c>
      <c r="B350">
        <v>332</v>
      </c>
      <c r="C350" t="s">
        <v>4740</v>
      </c>
      <c r="D350" s="39" t="s">
        <v>2065</v>
      </c>
      <c r="E350" s="39" t="s">
        <v>2066</v>
      </c>
      <c r="F350" s="39" t="s">
        <v>35</v>
      </c>
      <c r="G350" s="39" t="s">
        <v>36</v>
      </c>
      <c r="I350" s="39" t="s">
        <v>2067</v>
      </c>
      <c r="J350" s="39" t="s">
        <v>2068</v>
      </c>
      <c r="K350" t="s">
        <v>2069</v>
      </c>
      <c r="L350" t="s">
        <v>1417</v>
      </c>
      <c r="M350" s="6" t="s">
        <v>212</v>
      </c>
      <c r="N350" t="s">
        <v>59</v>
      </c>
      <c r="O350" t="s">
        <v>49</v>
      </c>
      <c r="P350" s="35" t="s">
        <v>50</v>
      </c>
      <c r="Q350" t="s">
        <v>115</v>
      </c>
      <c r="R350" t="s">
        <v>2070</v>
      </c>
      <c r="S350" s="6" t="s">
        <v>6222</v>
      </c>
      <c r="T350" s="43" t="s">
        <v>719</v>
      </c>
      <c r="U350" s="43" t="s">
        <v>1350</v>
      </c>
      <c r="V350" t="s">
        <v>49</v>
      </c>
      <c r="W350" s="57"/>
      <c r="X350" s="57"/>
      <c r="Y350" t="s">
        <v>50</v>
      </c>
      <c r="Z350" s="39"/>
      <c r="AA350" s="39"/>
      <c r="AB350" t="s">
        <v>62</v>
      </c>
      <c r="AC350" s="42">
        <v>42771</v>
      </c>
      <c r="AD350" s="42">
        <v>43380</v>
      </c>
      <c r="AE350" s="53" t="s">
        <v>425</v>
      </c>
      <c r="AF350" s="54" t="s">
        <v>35</v>
      </c>
      <c r="AG350" s="54"/>
      <c r="AH350" s="39" t="s">
        <v>52</v>
      </c>
      <c r="AI350" s="39" t="s">
        <v>70</v>
      </c>
    </row>
    <row r="351" spans="1:35" ht="17" x14ac:dyDescent="0.2">
      <c r="A351">
        <v>73</v>
      </c>
      <c r="B351">
        <v>57</v>
      </c>
      <c r="C351" t="s">
        <v>4743</v>
      </c>
      <c r="D351" s="39" t="s">
        <v>495</v>
      </c>
      <c r="E351" s="39" t="s">
        <v>496</v>
      </c>
      <c r="F351" s="39" t="s">
        <v>35</v>
      </c>
      <c r="G351" s="39" t="s">
        <v>194</v>
      </c>
      <c r="I351" s="39" t="s">
        <v>497</v>
      </c>
      <c r="J351" s="39" t="s">
        <v>35</v>
      </c>
      <c r="K351" t="s">
        <v>498</v>
      </c>
      <c r="L351" s="49" t="s">
        <v>499</v>
      </c>
      <c r="M351" s="6" t="s">
        <v>212</v>
      </c>
      <c r="N351" t="s">
        <v>59</v>
      </c>
      <c r="O351" t="s">
        <v>49</v>
      </c>
      <c r="P351" s="35" t="s">
        <v>50</v>
      </c>
      <c r="Q351" t="s">
        <v>44</v>
      </c>
      <c r="R351" t="s">
        <v>436</v>
      </c>
      <c r="S351" s="6" t="s">
        <v>4723</v>
      </c>
      <c r="T351" s="43" t="s">
        <v>500</v>
      </c>
      <c r="U351" s="43" t="s">
        <v>501</v>
      </c>
      <c r="V351" t="s">
        <v>49</v>
      </c>
      <c r="W351" s="57"/>
      <c r="X351" s="57"/>
      <c r="Y351" t="s">
        <v>50</v>
      </c>
      <c r="Z351" s="39"/>
      <c r="AA351" s="39"/>
      <c r="AB351" t="s">
        <v>44</v>
      </c>
      <c r="AC351" s="42">
        <v>33865</v>
      </c>
      <c r="AD351" s="42">
        <v>34236</v>
      </c>
      <c r="AE351" s="53" t="s">
        <v>51</v>
      </c>
      <c r="AF351" s="54" t="s">
        <v>35</v>
      </c>
      <c r="AG351" s="54"/>
      <c r="AH351" s="39" t="s">
        <v>52</v>
      </c>
      <c r="AI351" s="39" t="s">
        <v>52</v>
      </c>
    </row>
    <row r="352" spans="1:35" ht="17" x14ac:dyDescent="0.2">
      <c r="A352">
        <v>410</v>
      </c>
      <c r="B352">
        <v>88</v>
      </c>
      <c r="C352" t="s">
        <v>4748</v>
      </c>
      <c r="D352" s="39" t="s">
        <v>699</v>
      </c>
      <c r="E352" s="39" t="s">
        <v>700</v>
      </c>
      <c r="F352" s="39" t="s">
        <v>35</v>
      </c>
      <c r="G352" s="39" t="s">
        <v>160</v>
      </c>
      <c r="I352" s="39" t="s">
        <v>701</v>
      </c>
      <c r="J352" s="39" t="s">
        <v>35</v>
      </c>
      <c r="K352" t="s">
        <v>702</v>
      </c>
      <c r="L352" s="49" t="s">
        <v>703</v>
      </c>
      <c r="M352" s="6" t="s">
        <v>6008</v>
      </c>
      <c r="O352" t="s">
        <v>49</v>
      </c>
      <c r="P352" s="35" t="s">
        <v>50</v>
      </c>
      <c r="Q352" t="s">
        <v>180</v>
      </c>
      <c r="R352" t="s">
        <v>704</v>
      </c>
      <c r="S352" s="6" t="s">
        <v>6223</v>
      </c>
      <c r="T352" s="43" t="s">
        <v>705</v>
      </c>
      <c r="U352" s="43" t="s">
        <v>706</v>
      </c>
      <c r="V352" t="s">
        <v>707</v>
      </c>
      <c r="W352" s="57"/>
      <c r="X352" s="57"/>
      <c r="Y352" t="s">
        <v>50</v>
      </c>
      <c r="Z352" s="39"/>
      <c r="AA352" s="39"/>
      <c r="AB352" t="s">
        <v>44</v>
      </c>
      <c r="AC352" s="42">
        <v>42513</v>
      </c>
      <c r="AD352" s="42">
        <v>43473</v>
      </c>
      <c r="AE352" s="53" t="s">
        <v>51</v>
      </c>
      <c r="AF352" s="54" t="s">
        <v>35</v>
      </c>
      <c r="AG352" s="54"/>
      <c r="AH352" s="39" t="s">
        <v>52</v>
      </c>
      <c r="AI352" s="39" t="s">
        <v>52</v>
      </c>
    </row>
    <row r="353" spans="1:35" ht="17" x14ac:dyDescent="0.2">
      <c r="A353">
        <v>343</v>
      </c>
      <c r="B353">
        <v>313</v>
      </c>
      <c r="C353" t="s">
        <v>4752</v>
      </c>
      <c r="D353" s="39" t="s">
        <v>1956</v>
      </c>
      <c r="E353" s="39" t="s">
        <v>1963</v>
      </c>
      <c r="F353" s="39" t="s">
        <v>35</v>
      </c>
      <c r="G353" s="39" t="s">
        <v>160</v>
      </c>
      <c r="I353" s="39" t="s">
        <v>1964</v>
      </c>
      <c r="J353" s="39" t="s">
        <v>35</v>
      </c>
      <c r="K353" t="s">
        <v>1965</v>
      </c>
      <c r="L353" t="s">
        <v>1966</v>
      </c>
      <c r="M353" s="6" t="s">
        <v>5426</v>
      </c>
      <c r="P353" s="35" t="s">
        <v>99</v>
      </c>
      <c r="Q353" t="s">
        <v>35</v>
      </c>
      <c r="R353" t="s">
        <v>1967</v>
      </c>
      <c r="S353" s="6" t="s">
        <v>6224</v>
      </c>
      <c r="T353" s="43" t="s">
        <v>494</v>
      </c>
      <c r="U353" s="43" t="s">
        <v>954</v>
      </c>
      <c r="V353" t="s">
        <v>353</v>
      </c>
      <c r="W353" s="57"/>
      <c r="X353" s="57"/>
      <c r="Y353" t="s">
        <v>356</v>
      </c>
      <c r="Z353" s="39"/>
      <c r="AA353" s="39"/>
      <c r="AB353" t="s">
        <v>1627</v>
      </c>
      <c r="AC353" s="42">
        <v>40544</v>
      </c>
      <c r="AE353" s="53" t="s">
        <v>51</v>
      </c>
      <c r="AF353" s="54" t="s">
        <v>35</v>
      </c>
      <c r="AG353" s="54"/>
      <c r="AH353" s="39" t="s">
        <v>52</v>
      </c>
      <c r="AI353" s="39" t="s">
        <v>52</v>
      </c>
    </row>
    <row r="354" spans="1:35" ht="17" x14ac:dyDescent="0.2">
      <c r="A354">
        <v>246</v>
      </c>
      <c r="B354">
        <v>592</v>
      </c>
      <c r="C354" t="s">
        <v>4757</v>
      </c>
      <c r="D354" s="39" t="s">
        <v>1952</v>
      </c>
      <c r="E354" s="39" t="s">
        <v>1963</v>
      </c>
      <c r="F354" s="39" t="s">
        <v>35</v>
      </c>
      <c r="G354" s="39" t="s">
        <v>82</v>
      </c>
      <c r="I354" s="39" t="s">
        <v>3310</v>
      </c>
      <c r="J354" s="39" t="s">
        <v>35</v>
      </c>
      <c r="K354" t="s">
        <v>3311</v>
      </c>
      <c r="L354" t="s">
        <v>3312</v>
      </c>
      <c r="M354" s="6" t="s">
        <v>35</v>
      </c>
      <c r="N354" t="s">
        <v>41</v>
      </c>
      <c r="O354" t="s">
        <v>190</v>
      </c>
      <c r="P354" s="35" t="s">
        <v>191</v>
      </c>
      <c r="Q354" t="s">
        <v>76</v>
      </c>
      <c r="R354" t="s">
        <v>3313</v>
      </c>
      <c r="S354" s="6" t="s">
        <v>35</v>
      </c>
      <c r="T354" s="43" t="s">
        <v>2633</v>
      </c>
      <c r="U354" s="43" t="s">
        <v>2243</v>
      </c>
      <c r="V354" t="s">
        <v>190</v>
      </c>
      <c r="W354" s="57"/>
      <c r="X354" s="57"/>
      <c r="Y354" t="s">
        <v>191</v>
      </c>
      <c r="Z354" s="39"/>
      <c r="AA354" s="39"/>
      <c r="AB354" t="s">
        <v>76</v>
      </c>
      <c r="AC354" s="42">
        <v>38007</v>
      </c>
      <c r="AD354" s="42">
        <v>38860</v>
      </c>
      <c r="AE354" s="53" t="s">
        <v>51</v>
      </c>
      <c r="AF354" s="54" t="s">
        <v>35</v>
      </c>
      <c r="AG354" s="54"/>
      <c r="AH354" s="39" t="s">
        <v>52</v>
      </c>
      <c r="AI354" s="39" t="s">
        <v>52</v>
      </c>
    </row>
    <row r="355" spans="1:35" ht="17" x14ac:dyDescent="0.2">
      <c r="A355">
        <v>15</v>
      </c>
      <c r="B355">
        <v>15</v>
      </c>
      <c r="C355" t="s">
        <v>4762</v>
      </c>
      <c r="D355" s="39" t="s">
        <v>192</v>
      </c>
      <c r="E355" s="39" t="s">
        <v>193</v>
      </c>
      <c r="F355" s="39" t="s">
        <v>35</v>
      </c>
      <c r="G355" s="39" t="s">
        <v>194</v>
      </c>
      <c r="I355" s="39" t="s">
        <v>195</v>
      </c>
      <c r="J355" s="39" t="s">
        <v>35</v>
      </c>
      <c r="K355" t="s">
        <v>196</v>
      </c>
      <c r="L355" t="s">
        <v>197</v>
      </c>
      <c r="M355" s="6" t="s">
        <v>6009</v>
      </c>
      <c r="N355" t="s">
        <v>59</v>
      </c>
      <c r="O355" t="s">
        <v>198</v>
      </c>
      <c r="P355" s="35" t="s">
        <v>199</v>
      </c>
      <c r="Q355" t="s">
        <v>200</v>
      </c>
      <c r="R355" t="s">
        <v>201</v>
      </c>
      <c r="S355" s="6" t="s">
        <v>212</v>
      </c>
      <c r="T355" s="43" t="s">
        <v>202</v>
      </c>
      <c r="U355" s="43" t="s">
        <v>65</v>
      </c>
      <c r="V355" t="s">
        <v>198</v>
      </c>
      <c r="W355" s="57"/>
      <c r="X355" s="57"/>
      <c r="Y355" t="s">
        <v>199</v>
      </c>
      <c r="Z355" s="39"/>
      <c r="AA355" s="39"/>
      <c r="AB355" t="s">
        <v>200</v>
      </c>
      <c r="AC355" s="42">
        <v>33240</v>
      </c>
      <c r="AD355" s="42">
        <v>34233</v>
      </c>
      <c r="AE355" s="53" t="s">
        <v>51</v>
      </c>
      <c r="AF355" s="54" t="s">
        <v>35</v>
      </c>
      <c r="AG355" s="54"/>
      <c r="AH355" s="39" t="s">
        <v>52</v>
      </c>
      <c r="AI355" s="39" t="s">
        <v>52</v>
      </c>
    </row>
    <row r="356" spans="1:35" ht="17" x14ac:dyDescent="0.2">
      <c r="A356">
        <v>206</v>
      </c>
      <c r="B356">
        <v>30</v>
      </c>
      <c r="C356" t="s">
        <v>4763</v>
      </c>
      <c r="D356" s="39" t="s">
        <v>310</v>
      </c>
      <c r="E356" s="39" t="s">
        <v>193</v>
      </c>
      <c r="F356" s="39" t="s">
        <v>35</v>
      </c>
      <c r="G356" s="39" t="s">
        <v>82</v>
      </c>
      <c r="H356" s="34"/>
      <c r="I356" s="39" t="s">
        <v>311</v>
      </c>
      <c r="J356" s="39" t="s">
        <v>35</v>
      </c>
      <c r="K356" t="s">
        <v>312</v>
      </c>
      <c r="L356" t="s">
        <v>313</v>
      </c>
      <c r="M356" s="6" t="s">
        <v>6010</v>
      </c>
      <c r="N356" t="s">
        <v>97</v>
      </c>
      <c r="O356" t="s">
        <v>314</v>
      </c>
      <c r="P356" s="35" t="s">
        <v>50</v>
      </c>
      <c r="Q356" t="s">
        <v>62</v>
      </c>
      <c r="R356" t="s">
        <v>315</v>
      </c>
      <c r="S356" s="6" t="s">
        <v>6083</v>
      </c>
      <c r="T356" s="43" t="s">
        <v>316</v>
      </c>
      <c r="U356" s="43" t="s">
        <v>317</v>
      </c>
      <c r="V356" t="s">
        <v>314</v>
      </c>
      <c r="W356" s="57"/>
      <c r="X356" s="57"/>
      <c r="Y356" t="s">
        <v>50</v>
      </c>
      <c r="Z356" s="39"/>
      <c r="AA356" s="39"/>
      <c r="AB356" t="s">
        <v>76</v>
      </c>
      <c r="AC356" s="42">
        <v>37387</v>
      </c>
      <c r="AD356" s="42">
        <v>38007</v>
      </c>
      <c r="AE356" s="53" t="s">
        <v>157</v>
      </c>
      <c r="AF356" s="54" t="s">
        <v>35</v>
      </c>
      <c r="AG356" s="54"/>
      <c r="AH356" s="39" t="s">
        <v>70</v>
      </c>
      <c r="AI356" s="39" t="s">
        <v>52</v>
      </c>
    </row>
    <row r="357" spans="1:35" ht="17" x14ac:dyDescent="0.2">
      <c r="A357">
        <v>311</v>
      </c>
      <c r="B357">
        <v>150</v>
      </c>
      <c r="C357" t="s">
        <v>4767</v>
      </c>
      <c r="D357" s="39" t="s">
        <v>1101</v>
      </c>
      <c r="E357" s="39" t="s">
        <v>193</v>
      </c>
      <c r="F357" s="39" t="s">
        <v>35</v>
      </c>
      <c r="G357" s="39" t="s">
        <v>55</v>
      </c>
      <c r="I357" s="39" t="s">
        <v>1107</v>
      </c>
      <c r="J357" s="39" t="s">
        <v>35</v>
      </c>
      <c r="K357" t="s">
        <v>1108</v>
      </c>
      <c r="L357" s="49" t="s">
        <v>171</v>
      </c>
      <c r="M357" s="6" t="s">
        <v>703</v>
      </c>
      <c r="N357" t="s">
        <v>59</v>
      </c>
      <c r="O357" t="s">
        <v>49</v>
      </c>
      <c r="P357" s="35" t="s">
        <v>50</v>
      </c>
      <c r="Q357" t="s">
        <v>62</v>
      </c>
      <c r="R357" t="s">
        <v>1109</v>
      </c>
      <c r="S357" s="6" t="s">
        <v>4750</v>
      </c>
      <c r="T357" s="43" t="s">
        <v>779</v>
      </c>
      <c r="U357" s="43" t="s">
        <v>818</v>
      </c>
      <c r="V357" t="s">
        <v>49</v>
      </c>
      <c r="W357" s="57"/>
      <c r="X357" s="57"/>
      <c r="Y357" t="s">
        <v>50</v>
      </c>
      <c r="Z357" s="39"/>
      <c r="AA357" s="39"/>
      <c r="AB357" t="s">
        <v>811</v>
      </c>
      <c r="AC357" s="42">
        <v>39238</v>
      </c>
      <c r="AD357" s="42">
        <v>39882</v>
      </c>
      <c r="AE357" s="53" t="s">
        <v>51</v>
      </c>
      <c r="AF357" s="54" t="s">
        <v>35</v>
      </c>
      <c r="AG357" s="54"/>
      <c r="AH357" s="39" t="s">
        <v>52</v>
      </c>
      <c r="AI357" s="39" t="s">
        <v>52</v>
      </c>
    </row>
    <row r="358" spans="1:35" ht="17" x14ac:dyDescent="0.2">
      <c r="A358">
        <v>108</v>
      </c>
      <c r="B358">
        <v>527</v>
      </c>
      <c r="C358" t="s">
        <v>4771</v>
      </c>
      <c r="D358" s="39" t="s">
        <v>2992</v>
      </c>
      <c r="E358" s="39" t="s">
        <v>193</v>
      </c>
      <c r="F358" s="39" t="s">
        <v>35</v>
      </c>
      <c r="G358" s="39" t="s">
        <v>205</v>
      </c>
      <c r="H358" s="34"/>
      <c r="I358" s="39" t="s">
        <v>2993</v>
      </c>
      <c r="J358" s="39" t="s">
        <v>2994</v>
      </c>
      <c r="K358" t="s">
        <v>2995</v>
      </c>
      <c r="L358" t="s">
        <v>2996</v>
      </c>
      <c r="M358" s="6" t="s">
        <v>6011</v>
      </c>
      <c r="N358" t="s">
        <v>86</v>
      </c>
      <c r="O358" t="s">
        <v>2975</v>
      </c>
      <c r="P358" s="35" t="s">
        <v>50</v>
      </c>
      <c r="Q358" t="s">
        <v>76</v>
      </c>
      <c r="R358" t="s">
        <v>2997</v>
      </c>
      <c r="S358" s="6" t="s">
        <v>6225</v>
      </c>
      <c r="T358" s="43" t="s">
        <v>231</v>
      </c>
      <c r="U358" s="43" t="s">
        <v>48</v>
      </c>
      <c r="V358" t="s">
        <v>523</v>
      </c>
      <c r="W358" s="57"/>
      <c r="X358" s="57"/>
      <c r="Y358" t="s">
        <v>50</v>
      </c>
      <c r="Z358" s="39"/>
      <c r="AA358" s="39"/>
      <c r="AB358" t="s">
        <v>76</v>
      </c>
      <c r="AC358" s="42">
        <v>35104</v>
      </c>
      <c r="AD358" s="42">
        <v>35394</v>
      </c>
      <c r="AE358" s="53" t="s">
        <v>116</v>
      </c>
      <c r="AF358" s="54" t="s">
        <v>35</v>
      </c>
      <c r="AG358" s="54"/>
      <c r="AH358" s="39" t="s">
        <v>52</v>
      </c>
      <c r="AI358" s="39" t="s">
        <v>52</v>
      </c>
    </row>
    <row r="359" spans="1:35" ht="34" x14ac:dyDescent="0.2">
      <c r="A359">
        <v>587</v>
      </c>
      <c r="B359">
        <v>318</v>
      </c>
      <c r="C359" t="s">
        <v>5798</v>
      </c>
      <c r="D359" s="39" t="s">
        <v>1986</v>
      </c>
      <c r="E359" s="39" t="s">
        <v>1987</v>
      </c>
      <c r="F359" s="39" t="s">
        <v>35</v>
      </c>
      <c r="G359" s="39" t="s">
        <v>259</v>
      </c>
      <c r="I359" s="39" t="s">
        <v>1988</v>
      </c>
      <c r="J359" s="39" t="s">
        <v>1989</v>
      </c>
      <c r="K359" t="s">
        <v>1990</v>
      </c>
      <c r="L359" t="s">
        <v>1991</v>
      </c>
      <c r="M359" s="6" t="s">
        <v>6012</v>
      </c>
      <c r="N359" t="s">
        <v>131</v>
      </c>
      <c r="O359" t="s">
        <v>639</v>
      </c>
      <c r="P359" s="35" t="s">
        <v>640</v>
      </c>
      <c r="Q359" t="s">
        <v>62</v>
      </c>
      <c r="R359" t="s">
        <v>1840</v>
      </c>
      <c r="S359" s="6" t="s">
        <v>4761</v>
      </c>
      <c r="T359" s="43" t="s">
        <v>459</v>
      </c>
      <c r="U359" s="43" t="s">
        <v>459</v>
      </c>
      <c r="V359" t="s">
        <v>1517</v>
      </c>
      <c r="W359" s="57"/>
      <c r="X359" s="57"/>
      <c r="Y359" t="s">
        <v>640</v>
      </c>
      <c r="Z359" s="39"/>
      <c r="AA359" s="39"/>
      <c r="AB359" t="s">
        <v>76</v>
      </c>
      <c r="AC359" s="42">
        <v>44564</v>
      </c>
      <c r="AD359" s="42">
        <v>44929</v>
      </c>
      <c r="AE359" s="53" t="s">
        <v>51</v>
      </c>
      <c r="AF359" s="54" t="s">
        <v>35</v>
      </c>
      <c r="AG359" s="54"/>
      <c r="AH359" s="39" t="s">
        <v>52</v>
      </c>
      <c r="AI359" s="39" t="s">
        <v>52</v>
      </c>
    </row>
    <row r="360" spans="1:35" ht="17" x14ac:dyDescent="0.2">
      <c r="A360">
        <v>145</v>
      </c>
      <c r="B360">
        <v>117</v>
      </c>
      <c r="C360" t="s">
        <v>4776</v>
      </c>
      <c r="D360" s="39" t="s">
        <v>897</v>
      </c>
      <c r="E360" s="39" t="s">
        <v>898</v>
      </c>
      <c r="F360" s="39" t="s">
        <v>35</v>
      </c>
      <c r="G360" s="39" t="s">
        <v>205</v>
      </c>
      <c r="I360" s="39" t="s">
        <v>899</v>
      </c>
      <c r="J360" s="39" t="s">
        <v>900</v>
      </c>
      <c r="K360" t="s">
        <v>901</v>
      </c>
      <c r="L360" s="49" t="s">
        <v>902</v>
      </c>
      <c r="M360" s="6" t="s">
        <v>6013</v>
      </c>
      <c r="N360" t="s">
        <v>59</v>
      </c>
      <c r="O360" t="s">
        <v>49</v>
      </c>
      <c r="P360" s="35" t="s">
        <v>50</v>
      </c>
      <c r="Q360" t="s">
        <v>44</v>
      </c>
      <c r="R360" t="s">
        <v>171</v>
      </c>
      <c r="S360" s="6" t="s">
        <v>6226</v>
      </c>
      <c r="T360" s="43" t="s">
        <v>705</v>
      </c>
      <c r="U360" s="43" t="s">
        <v>768</v>
      </c>
      <c r="V360" t="s">
        <v>49</v>
      </c>
      <c r="W360" s="57"/>
      <c r="X360" s="57"/>
      <c r="Y360" t="s">
        <v>50</v>
      </c>
      <c r="Z360" s="39"/>
      <c r="AA360" s="39"/>
      <c r="AB360" t="s">
        <v>62</v>
      </c>
      <c r="AC360" s="42">
        <v>36280</v>
      </c>
      <c r="AD360" s="42">
        <v>37649</v>
      </c>
      <c r="AE360" s="53" t="s">
        <v>239</v>
      </c>
      <c r="AF360" s="54" t="s">
        <v>35</v>
      </c>
      <c r="AG360" s="54"/>
      <c r="AH360" s="39" t="s">
        <v>70</v>
      </c>
      <c r="AI360" s="39" t="s">
        <v>52</v>
      </c>
    </row>
    <row r="361" spans="1:35" ht="17" x14ac:dyDescent="0.2">
      <c r="A361">
        <v>467</v>
      </c>
      <c r="B361">
        <v>167</v>
      </c>
      <c r="C361" t="s">
        <v>4779</v>
      </c>
      <c r="D361" s="39" t="s">
        <v>1192</v>
      </c>
      <c r="E361" s="39" t="s">
        <v>1193</v>
      </c>
      <c r="F361" s="39" t="s">
        <v>35</v>
      </c>
      <c r="G361" s="39" t="s">
        <v>36</v>
      </c>
      <c r="I361" s="39" t="s">
        <v>1194</v>
      </c>
      <c r="J361" s="39" t="s">
        <v>1195</v>
      </c>
      <c r="K361" t="s">
        <v>1196</v>
      </c>
      <c r="L361" s="49" t="s">
        <v>368</v>
      </c>
      <c r="M361" s="6" t="s">
        <v>4765</v>
      </c>
      <c r="N361" t="s">
        <v>41</v>
      </c>
      <c r="O361" t="s">
        <v>49</v>
      </c>
      <c r="P361" s="35" t="s">
        <v>50</v>
      </c>
      <c r="Q361" t="s">
        <v>62</v>
      </c>
      <c r="R361" t="s">
        <v>171</v>
      </c>
      <c r="S361" s="6" t="s">
        <v>4766</v>
      </c>
      <c r="T361" s="43" t="s">
        <v>387</v>
      </c>
      <c r="U361" s="43" t="s">
        <v>528</v>
      </c>
      <c r="W361" s="57"/>
      <c r="X361" s="57"/>
      <c r="Z361" s="39"/>
      <c r="AA361" s="39"/>
      <c r="AB361" t="s">
        <v>62</v>
      </c>
      <c r="AC361" s="42">
        <v>43255</v>
      </c>
      <c r="AD361" s="42">
        <v>43830</v>
      </c>
      <c r="AE361" s="53" t="s">
        <v>51</v>
      </c>
      <c r="AF361" s="54" t="s">
        <v>35</v>
      </c>
      <c r="AG361" s="54"/>
      <c r="AH361" s="39" t="s">
        <v>52</v>
      </c>
      <c r="AI361" s="39" t="s">
        <v>52</v>
      </c>
    </row>
    <row r="362" spans="1:35" ht="17" x14ac:dyDescent="0.2">
      <c r="B362">
        <v>217</v>
      </c>
      <c r="C362" t="s">
        <v>4781</v>
      </c>
      <c r="D362" s="39" t="s">
        <v>1467</v>
      </c>
      <c r="E362" s="39" t="s">
        <v>1193</v>
      </c>
      <c r="F362" s="39" t="s">
        <v>35</v>
      </c>
      <c r="G362" s="39" t="s">
        <v>36</v>
      </c>
      <c r="I362" s="39" t="s">
        <v>1468</v>
      </c>
      <c r="J362" s="39" t="s">
        <v>35</v>
      </c>
      <c r="K362" t="s">
        <v>1469</v>
      </c>
      <c r="L362" t="s">
        <v>1470</v>
      </c>
      <c r="M362" s="6" t="s">
        <v>6014</v>
      </c>
      <c r="N362" s="36" t="s">
        <v>86</v>
      </c>
      <c r="P362" s="35"/>
      <c r="Q362" t="s">
        <v>44</v>
      </c>
      <c r="R362" t="s">
        <v>1447</v>
      </c>
      <c r="S362" s="6" t="s">
        <v>4770</v>
      </c>
      <c r="T362" s="43" t="s">
        <v>47</v>
      </c>
      <c r="U362" s="43" t="s">
        <v>338</v>
      </c>
      <c r="V362" t="s">
        <v>49</v>
      </c>
      <c r="W362" s="57"/>
      <c r="X362" s="57"/>
      <c r="Y362" t="s">
        <v>50</v>
      </c>
      <c r="Z362" s="39"/>
      <c r="AA362" s="39"/>
      <c r="AB362" t="s">
        <v>62</v>
      </c>
      <c r="AC362" s="42">
        <v>42513</v>
      </c>
      <c r="AD362" s="42">
        <v>42780</v>
      </c>
      <c r="AE362" s="53" t="s">
        <v>51</v>
      </c>
      <c r="AF362" s="54" t="s">
        <v>35</v>
      </c>
      <c r="AG362" s="54"/>
      <c r="AH362" s="39" t="s">
        <v>52</v>
      </c>
      <c r="AI362" s="39" t="s">
        <v>52</v>
      </c>
    </row>
    <row r="363" spans="1:35" ht="17" x14ac:dyDescent="0.2">
      <c r="B363">
        <v>374</v>
      </c>
      <c r="C363" t="s">
        <v>4785</v>
      </c>
      <c r="D363" s="39" t="s">
        <v>2273</v>
      </c>
      <c r="E363" s="39" t="s">
        <v>2274</v>
      </c>
      <c r="F363" s="39" t="s">
        <v>35</v>
      </c>
      <c r="G363" s="39" t="s">
        <v>160</v>
      </c>
      <c r="I363" s="39" t="s">
        <v>2275</v>
      </c>
      <c r="J363" s="39" t="s">
        <v>2276</v>
      </c>
      <c r="K363" t="s">
        <v>2277</v>
      </c>
      <c r="L363" t="s">
        <v>2278</v>
      </c>
      <c r="M363" s="6" t="s">
        <v>345</v>
      </c>
      <c r="N363" t="s">
        <v>86</v>
      </c>
      <c r="O363" t="s">
        <v>49</v>
      </c>
      <c r="P363" s="35" t="s">
        <v>50</v>
      </c>
      <c r="Q363" t="s">
        <v>35</v>
      </c>
      <c r="R363" t="s">
        <v>1044</v>
      </c>
      <c r="S363" s="6" t="s">
        <v>4775</v>
      </c>
      <c r="T363" s="43" t="s">
        <v>66</v>
      </c>
      <c r="U363" s="43" t="s">
        <v>48</v>
      </c>
      <c r="V363" t="s">
        <v>49</v>
      </c>
      <c r="W363" s="57"/>
      <c r="X363" s="57"/>
      <c r="Y363" t="s">
        <v>50</v>
      </c>
      <c r="Z363" s="39"/>
      <c r="AA363" s="39"/>
      <c r="AB363" t="s">
        <v>62</v>
      </c>
      <c r="AD363" s="42" t="s">
        <v>35</v>
      </c>
      <c r="AE363" s="53" t="s">
        <v>51</v>
      </c>
      <c r="AF363" s="54" t="s">
        <v>35</v>
      </c>
      <c r="AG363" s="54"/>
      <c r="AH363" s="39" t="s">
        <v>52</v>
      </c>
      <c r="AI363" s="39" t="s">
        <v>52</v>
      </c>
    </row>
    <row r="364" spans="1:35" ht="17" x14ac:dyDescent="0.2">
      <c r="A364">
        <v>483</v>
      </c>
      <c r="B364">
        <v>214</v>
      </c>
      <c r="C364" t="s">
        <v>4789</v>
      </c>
      <c r="D364" s="39" t="s">
        <v>1451</v>
      </c>
      <c r="E364" s="39" t="s">
        <v>1452</v>
      </c>
      <c r="F364" s="39" t="s">
        <v>35</v>
      </c>
      <c r="G364" s="39" t="s">
        <v>36</v>
      </c>
      <c r="H364" s="34"/>
      <c r="I364" s="39" t="s">
        <v>1453</v>
      </c>
      <c r="J364" s="39" t="s">
        <v>35</v>
      </c>
      <c r="K364" t="s">
        <v>1454</v>
      </c>
      <c r="L364" t="s">
        <v>1455</v>
      </c>
      <c r="M364" s="6" t="s">
        <v>4047</v>
      </c>
      <c r="N364" s="37" t="s">
        <v>59</v>
      </c>
      <c r="O364" t="s">
        <v>42</v>
      </c>
      <c r="P364" s="35" t="s">
        <v>43</v>
      </c>
      <c r="Q364" t="s">
        <v>62</v>
      </c>
      <c r="R364" t="s">
        <v>58</v>
      </c>
      <c r="S364" s="6" t="s">
        <v>6227</v>
      </c>
      <c r="T364" s="43" t="s">
        <v>246</v>
      </c>
      <c r="U364" s="43" t="s">
        <v>1456</v>
      </c>
      <c r="V364" t="s">
        <v>42</v>
      </c>
      <c r="W364" s="57"/>
      <c r="X364" s="57"/>
      <c r="Y364" t="s">
        <v>43</v>
      </c>
      <c r="Z364" s="39"/>
      <c r="AA364" s="39"/>
      <c r="AB364" t="s">
        <v>62</v>
      </c>
      <c r="AC364" s="42">
        <v>43480</v>
      </c>
      <c r="AD364" s="42">
        <v>44772</v>
      </c>
      <c r="AE364" s="53" t="s">
        <v>453</v>
      </c>
      <c r="AF364" s="54" t="s">
        <v>35</v>
      </c>
      <c r="AG364" s="54"/>
      <c r="AH364" s="39" t="s">
        <v>70</v>
      </c>
      <c r="AI364" s="39" t="s">
        <v>52</v>
      </c>
    </row>
    <row r="365" spans="1:35" ht="17" x14ac:dyDescent="0.2">
      <c r="A365">
        <v>435</v>
      </c>
      <c r="B365">
        <v>65</v>
      </c>
      <c r="C365" t="s">
        <v>4792</v>
      </c>
      <c r="D365" s="39" t="s">
        <v>547</v>
      </c>
      <c r="E365" s="39" t="s">
        <v>548</v>
      </c>
      <c r="F365" s="39" t="s">
        <v>35</v>
      </c>
      <c r="G365" s="39" t="s">
        <v>36</v>
      </c>
      <c r="I365" s="39" t="s">
        <v>549</v>
      </c>
      <c r="J365" s="39" t="s">
        <v>35</v>
      </c>
      <c r="K365" t="s">
        <v>550</v>
      </c>
      <c r="L365" s="49" t="s">
        <v>436</v>
      </c>
      <c r="M365" s="6" t="s">
        <v>4778</v>
      </c>
      <c r="N365" t="s">
        <v>59</v>
      </c>
      <c r="O365" t="s">
        <v>49</v>
      </c>
      <c r="P365" s="35" t="s">
        <v>50</v>
      </c>
      <c r="Q365" t="s">
        <v>44</v>
      </c>
      <c r="R365" t="s">
        <v>551</v>
      </c>
      <c r="S365" s="6" t="s">
        <v>64</v>
      </c>
      <c r="T365" s="43" t="s">
        <v>66</v>
      </c>
      <c r="U365" s="43" t="s">
        <v>47</v>
      </c>
      <c r="V365" t="s">
        <v>49</v>
      </c>
      <c r="W365" s="57"/>
      <c r="X365" s="57"/>
      <c r="Y365" t="s">
        <v>50</v>
      </c>
      <c r="Z365" s="39"/>
      <c r="AA365" s="39"/>
      <c r="AB365" t="s">
        <v>44</v>
      </c>
      <c r="AC365" s="42">
        <v>42825</v>
      </c>
      <c r="AD365" s="42">
        <v>43774</v>
      </c>
      <c r="AE365" s="53" t="s">
        <v>51</v>
      </c>
      <c r="AF365" s="54" t="s">
        <v>35</v>
      </c>
      <c r="AG365" s="54"/>
      <c r="AH365" s="39" t="s">
        <v>52</v>
      </c>
      <c r="AI365" s="39" t="s">
        <v>52</v>
      </c>
    </row>
    <row r="366" spans="1:35" ht="17" x14ac:dyDescent="0.2">
      <c r="A366">
        <v>7</v>
      </c>
      <c r="B366">
        <v>249</v>
      </c>
      <c r="C366" t="s">
        <v>4797</v>
      </c>
      <c r="D366" s="39" t="s">
        <v>1649</v>
      </c>
      <c r="E366" s="39" t="s">
        <v>1650</v>
      </c>
      <c r="F366" s="39" t="s">
        <v>35</v>
      </c>
      <c r="G366" s="39" t="s">
        <v>139</v>
      </c>
      <c r="I366" s="39" t="s">
        <v>1651</v>
      </c>
      <c r="J366" s="39" t="s">
        <v>35</v>
      </c>
      <c r="K366" t="s">
        <v>1652</v>
      </c>
      <c r="L366" t="s">
        <v>1653</v>
      </c>
      <c r="M366" s="6" t="s">
        <v>6015</v>
      </c>
      <c r="N366" s="36" t="s">
        <v>86</v>
      </c>
      <c r="P366" s="35"/>
      <c r="Q366" t="s">
        <v>35</v>
      </c>
      <c r="R366" t="s">
        <v>1654</v>
      </c>
      <c r="S366" s="6" t="s">
        <v>3901</v>
      </c>
      <c r="T366" s="43" t="s">
        <v>1655</v>
      </c>
      <c r="U366" s="43" t="s">
        <v>1267</v>
      </c>
      <c r="V366" t="s">
        <v>49</v>
      </c>
      <c r="W366" s="57"/>
      <c r="X366" s="57"/>
      <c r="Y366" t="s">
        <v>50</v>
      </c>
      <c r="Z366" s="39"/>
      <c r="AA366" s="39"/>
      <c r="AB366" t="s">
        <v>1627</v>
      </c>
      <c r="AC366" s="42">
        <v>32464</v>
      </c>
      <c r="AD366" s="42">
        <v>33238</v>
      </c>
      <c r="AE366" s="53" t="s">
        <v>116</v>
      </c>
      <c r="AF366" s="54" t="s">
        <v>35</v>
      </c>
      <c r="AG366" s="54"/>
      <c r="AH366" s="39" t="s">
        <v>70</v>
      </c>
      <c r="AI366" s="39" t="s">
        <v>52</v>
      </c>
    </row>
    <row r="367" spans="1:35" ht="17" x14ac:dyDescent="0.2">
      <c r="A367">
        <v>312</v>
      </c>
      <c r="B367">
        <v>40</v>
      </c>
      <c r="C367" t="s">
        <v>4799</v>
      </c>
      <c r="D367" s="39" t="s">
        <v>378</v>
      </c>
      <c r="E367" s="39" t="s">
        <v>379</v>
      </c>
      <c r="F367" s="39" t="s">
        <v>35</v>
      </c>
      <c r="G367" s="39" t="s">
        <v>55</v>
      </c>
      <c r="I367" s="39" t="s">
        <v>380</v>
      </c>
      <c r="J367" s="39" t="s">
        <v>381</v>
      </c>
      <c r="K367" t="s">
        <v>382</v>
      </c>
      <c r="L367" t="s">
        <v>383</v>
      </c>
      <c r="M367" s="6" t="s">
        <v>6016</v>
      </c>
      <c r="N367" s="36" t="s">
        <v>86</v>
      </c>
      <c r="O367" t="s">
        <v>384</v>
      </c>
      <c r="P367" s="35" t="s">
        <v>222</v>
      </c>
      <c r="Q367" t="s">
        <v>44</v>
      </c>
      <c r="R367" t="s">
        <v>385</v>
      </c>
      <c r="S367" s="6" t="s">
        <v>4784</v>
      </c>
      <c r="T367" s="43" t="s">
        <v>386</v>
      </c>
      <c r="U367" s="43" t="s">
        <v>387</v>
      </c>
      <c r="W367" s="57"/>
      <c r="X367" s="57"/>
      <c r="Z367" s="39"/>
      <c r="AA367" s="39"/>
      <c r="AB367" t="s">
        <v>76</v>
      </c>
      <c r="AC367" s="42">
        <v>39476</v>
      </c>
      <c r="AE367" s="53" t="s">
        <v>51</v>
      </c>
      <c r="AF367" s="54" t="s">
        <v>35</v>
      </c>
      <c r="AG367" s="54"/>
      <c r="AH367" s="39" t="s">
        <v>52</v>
      </c>
      <c r="AI367" s="39" t="s">
        <v>52</v>
      </c>
    </row>
    <row r="368" spans="1:35" ht="17" x14ac:dyDescent="0.2">
      <c r="A368">
        <v>20</v>
      </c>
      <c r="B368">
        <v>119</v>
      </c>
      <c r="C368" t="s">
        <v>4804</v>
      </c>
      <c r="D368" s="39" t="s">
        <v>913</v>
      </c>
      <c r="E368" s="39" t="s">
        <v>379</v>
      </c>
      <c r="F368" s="39" t="s">
        <v>35</v>
      </c>
      <c r="G368" s="39" t="s">
        <v>139</v>
      </c>
      <c r="I368" s="39" t="s">
        <v>914</v>
      </c>
      <c r="J368" s="39" t="s">
        <v>35</v>
      </c>
      <c r="K368" t="s">
        <v>915</v>
      </c>
      <c r="L368" s="49" t="s">
        <v>916</v>
      </c>
      <c r="M368" s="6" t="s">
        <v>6017</v>
      </c>
      <c r="N368" s="36" t="s">
        <v>86</v>
      </c>
      <c r="O368" t="s">
        <v>49</v>
      </c>
      <c r="P368" s="35" t="s">
        <v>50</v>
      </c>
      <c r="Q368" t="s">
        <v>62</v>
      </c>
      <c r="R368" t="s">
        <v>917</v>
      </c>
      <c r="S368" s="6" t="s">
        <v>3501</v>
      </c>
      <c r="T368" s="43" t="s">
        <v>918</v>
      </c>
      <c r="U368" s="43" t="s">
        <v>324</v>
      </c>
      <c r="W368" s="57"/>
      <c r="X368" s="57"/>
      <c r="Z368" s="39"/>
      <c r="AA368" s="39"/>
      <c r="AB368" t="s">
        <v>44</v>
      </c>
      <c r="AC368" s="42">
        <v>33240</v>
      </c>
      <c r="AD368" s="42">
        <v>33602</v>
      </c>
      <c r="AE368" s="53" t="s">
        <v>51</v>
      </c>
      <c r="AF368" s="54" t="s">
        <v>35</v>
      </c>
      <c r="AG368" s="54"/>
      <c r="AH368" s="39" t="s">
        <v>52</v>
      </c>
      <c r="AI368" s="39" t="s">
        <v>52</v>
      </c>
    </row>
    <row r="369" spans="1:36" ht="17" x14ac:dyDescent="0.2">
      <c r="A369">
        <v>9</v>
      </c>
      <c r="B369">
        <v>346</v>
      </c>
      <c r="C369" t="s">
        <v>4808</v>
      </c>
      <c r="D369" s="39" t="s">
        <v>2128</v>
      </c>
      <c r="E369" s="39" t="s">
        <v>379</v>
      </c>
      <c r="F369" s="39" t="s">
        <v>35</v>
      </c>
      <c r="G369" s="39" t="s">
        <v>139</v>
      </c>
      <c r="I369" s="39" t="s">
        <v>35</v>
      </c>
      <c r="J369" s="39" t="s">
        <v>35</v>
      </c>
      <c r="K369" t="s">
        <v>2129</v>
      </c>
      <c r="L369" t="s">
        <v>2130</v>
      </c>
      <c r="M369" s="6" t="s">
        <v>6018</v>
      </c>
      <c r="P369" s="35"/>
      <c r="Q369" t="s">
        <v>44</v>
      </c>
      <c r="R369" t="s">
        <v>230</v>
      </c>
      <c r="S369" s="6" t="s">
        <v>51</v>
      </c>
      <c r="T369" s="43" t="s">
        <v>2131</v>
      </c>
      <c r="U369" s="43" t="s">
        <v>47</v>
      </c>
      <c r="W369" s="57"/>
      <c r="X369" s="57"/>
      <c r="Z369" s="39"/>
      <c r="AA369" s="39"/>
      <c r="AB369" t="s">
        <v>44</v>
      </c>
      <c r="AC369" s="42">
        <v>32596</v>
      </c>
      <c r="AD369" s="42">
        <v>33238</v>
      </c>
      <c r="AE369" s="53" t="s">
        <v>116</v>
      </c>
      <c r="AF369" s="54" t="s">
        <v>35</v>
      </c>
      <c r="AG369" s="54"/>
      <c r="AH369" s="39" t="s">
        <v>70</v>
      </c>
      <c r="AI369" s="39" t="s">
        <v>52</v>
      </c>
    </row>
    <row r="370" spans="1:36" ht="17" x14ac:dyDescent="0.2">
      <c r="A370">
        <v>480</v>
      </c>
      <c r="B370">
        <v>469</v>
      </c>
      <c r="C370" t="s">
        <v>4813</v>
      </c>
      <c r="D370" s="39" t="s">
        <v>2714</v>
      </c>
      <c r="E370" s="39" t="s">
        <v>379</v>
      </c>
      <c r="F370" s="39" t="s">
        <v>35</v>
      </c>
      <c r="G370" s="39" t="s">
        <v>36</v>
      </c>
      <c r="H370" s="34"/>
      <c r="I370" s="39" t="s">
        <v>2715</v>
      </c>
      <c r="J370" s="39" t="s">
        <v>35</v>
      </c>
      <c r="K370" t="s">
        <v>2716</v>
      </c>
      <c r="L370" t="s">
        <v>2717</v>
      </c>
      <c r="M370" s="6" t="s">
        <v>3936</v>
      </c>
      <c r="N370" t="s">
        <v>59</v>
      </c>
      <c r="O370" t="s">
        <v>49</v>
      </c>
      <c r="P370" s="35" t="s">
        <v>50</v>
      </c>
      <c r="Q370" t="s">
        <v>728</v>
      </c>
      <c r="R370" t="s">
        <v>2718</v>
      </c>
      <c r="S370" s="6" t="s">
        <v>4796</v>
      </c>
      <c r="T370" s="43" t="s">
        <v>2719</v>
      </c>
      <c r="U370" s="43" t="s">
        <v>2720</v>
      </c>
      <c r="V370" t="s">
        <v>49</v>
      </c>
      <c r="W370" s="57"/>
      <c r="X370" s="57"/>
      <c r="Y370" t="s">
        <v>50</v>
      </c>
      <c r="Z370" s="39"/>
      <c r="AA370" s="39"/>
      <c r="AB370" t="s">
        <v>728</v>
      </c>
      <c r="AC370" s="42">
        <v>43480</v>
      </c>
      <c r="AD370" s="42">
        <v>44805</v>
      </c>
      <c r="AE370" s="53" t="s">
        <v>157</v>
      </c>
      <c r="AF370" s="54" t="s">
        <v>69</v>
      </c>
      <c r="AG370" s="54"/>
      <c r="AH370" s="39" t="s">
        <v>70</v>
      </c>
      <c r="AI370" s="39" t="s">
        <v>70</v>
      </c>
    </row>
    <row r="371" spans="1:36" ht="17" x14ac:dyDescent="0.2">
      <c r="A371">
        <v>14</v>
      </c>
      <c r="B371">
        <v>474</v>
      </c>
      <c r="C371" t="s">
        <v>4819</v>
      </c>
      <c r="D371" s="39" t="s">
        <v>2740</v>
      </c>
      <c r="E371" s="39" t="s">
        <v>379</v>
      </c>
      <c r="F371" s="39" t="s">
        <v>35</v>
      </c>
      <c r="G371" s="39" t="s">
        <v>139</v>
      </c>
      <c r="I371" s="39" t="s">
        <v>35</v>
      </c>
      <c r="J371" s="39" t="s">
        <v>35</v>
      </c>
      <c r="K371" t="s">
        <v>2741</v>
      </c>
      <c r="L371" t="s">
        <v>2742</v>
      </c>
      <c r="M371" s="6" t="s">
        <v>6019</v>
      </c>
      <c r="N371" t="s">
        <v>86</v>
      </c>
      <c r="O371" t="s">
        <v>49</v>
      </c>
      <c r="P371" s="35" t="s">
        <v>50</v>
      </c>
      <c r="Q371" t="s">
        <v>44</v>
      </c>
      <c r="R371" t="s">
        <v>2743</v>
      </c>
      <c r="S371" s="6" t="s">
        <v>3589</v>
      </c>
      <c r="T371" s="43" t="s">
        <v>2744</v>
      </c>
      <c r="U371" s="43" t="s">
        <v>1216</v>
      </c>
      <c r="V371" t="s">
        <v>49</v>
      </c>
      <c r="W371" s="57"/>
      <c r="X371" s="57"/>
      <c r="Y371" t="s">
        <v>50</v>
      </c>
      <c r="Z371" s="39"/>
      <c r="AA371" s="39"/>
      <c r="AB371" t="s">
        <v>35</v>
      </c>
      <c r="AC371" s="42">
        <v>33000</v>
      </c>
      <c r="AD371" s="42">
        <v>34233</v>
      </c>
      <c r="AE371" s="53" t="s">
        <v>239</v>
      </c>
      <c r="AF371" s="54" t="s">
        <v>35</v>
      </c>
      <c r="AG371" s="54"/>
      <c r="AH371" s="39" t="s">
        <v>70</v>
      </c>
      <c r="AI371" s="39" t="s">
        <v>52</v>
      </c>
    </row>
    <row r="372" spans="1:36" ht="17" x14ac:dyDescent="0.2">
      <c r="A372">
        <v>331</v>
      </c>
      <c r="B372">
        <v>604</v>
      </c>
      <c r="C372" t="s">
        <v>4824</v>
      </c>
      <c r="D372" s="39" t="s">
        <v>3367</v>
      </c>
      <c r="E372" s="39" t="s">
        <v>379</v>
      </c>
      <c r="F372" s="39" t="s">
        <v>35</v>
      </c>
      <c r="G372" s="39" t="s">
        <v>55</v>
      </c>
      <c r="H372" s="34"/>
      <c r="I372" s="39" t="s">
        <v>3368</v>
      </c>
      <c r="J372" s="39" t="s">
        <v>3369</v>
      </c>
      <c r="K372" t="s">
        <v>3370</v>
      </c>
      <c r="L372" t="s">
        <v>3371</v>
      </c>
      <c r="M372" s="6" t="s">
        <v>2355</v>
      </c>
      <c r="N372" s="36" t="s">
        <v>86</v>
      </c>
      <c r="O372" t="s">
        <v>143</v>
      </c>
      <c r="P372" s="35" t="s">
        <v>50</v>
      </c>
      <c r="Q372" t="s">
        <v>132</v>
      </c>
      <c r="R372" t="s">
        <v>263</v>
      </c>
      <c r="S372" s="6" t="s">
        <v>4803</v>
      </c>
      <c r="T372" s="43" t="s">
        <v>288</v>
      </c>
      <c r="U372" s="43" t="s">
        <v>145</v>
      </c>
      <c r="V372" t="s">
        <v>49</v>
      </c>
      <c r="W372" s="57"/>
      <c r="X372" s="57"/>
      <c r="Y372" t="s">
        <v>50</v>
      </c>
      <c r="Z372" s="39"/>
      <c r="AA372" s="39"/>
      <c r="AB372" t="s">
        <v>62</v>
      </c>
      <c r="AC372" s="42">
        <v>40239</v>
      </c>
      <c r="AD372" s="42">
        <v>40568</v>
      </c>
      <c r="AE372" s="53" t="s">
        <v>68</v>
      </c>
      <c r="AF372" s="54" t="s">
        <v>35</v>
      </c>
      <c r="AG372" s="54"/>
      <c r="AH372" s="39" t="s">
        <v>70</v>
      </c>
      <c r="AI372" s="39" t="s">
        <v>52</v>
      </c>
    </row>
    <row r="373" spans="1:36" ht="17" x14ac:dyDescent="0.2">
      <c r="A373">
        <v>169</v>
      </c>
      <c r="B373">
        <v>530</v>
      </c>
      <c r="C373" t="s">
        <v>4829</v>
      </c>
      <c r="D373" s="39" t="s">
        <v>3008</v>
      </c>
      <c r="E373" s="39" t="s">
        <v>3009</v>
      </c>
      <c r="F373" s="39" t="s">
        <v>35</v>
      </c>
      <c r="G373" s="39" t="s">
        <v>205</v>
      </c>
      <c r="I373" s="39" t="s">
        <v>3010</v>
      </c>
      <c r="J373" s="39" t="s">
        <v>3011</v>
      </c>
      <c r="K373" t="s">
        <v>3012</v>
      </c>
      <c r="L373" t="s">
        <v>3013</v>
      </c>
      <c r="M373" s="6" t="s">
        <v>35</v>
      </c>
      <c r="N373" t="s">
        <v>59</v>
      </c>
      <c r="O373" t="s">
        <v>2767</v>
      </c>
      <c r="P373" s="35" t="s">
        <v>50</v>
      </c>
      <c r="Q373" t="s">
        <v>44</v>
      </c>
      <c r="R373" t="s">
        <v>3014</v>
      </c>
      <c r="S373" s="6" t="s">
        <v>35</v>
      </c>
      <c r="T373" s="43" t="s">
        <v>2197</v>
      </c>
      <c r="U373" s="43" t="s">
        <v>66</v>
      </c>
      <c r="V373" t="s">
        <v>2767</v>
      </c>
      <c r="W373" s="57"/>
      <c r="X373" s="57"/>
      <c r="Y373" t="s">
        <v>50</v>
      </c>
      <c r="Z373" s="39"/>
      <c r="AA373" s="39"/>
      <c r="AB373" t="s">
        <v>100</v>
      </c>
      <c r="AC373" s="42">
        <v>36655</v>
      </c>
      <c r="AD373" s="42">
        <v>37649</v>
      </c>
      <c r="AE373" s="53" t="s">
        <v>239</v>
      </c>
      <c r="AF373" s="54" t="s">
        <v>35</v>
      </c>
      <c r="AG373" s="54"/>
      <c r="AH373" s="39" t="s">
        <v>70</v>
      </c>
      <c r="AI373" s="39" t="s">
        <v>52</v>
      </c>
    </row>
    <row r="374" spans="1:36" ht="17" x14ac:dyDescent="0.2">
      <c r="A374">
        <v>466</v>
      </c>
      <c r="B374">
        <v>5</v>
      </c>
      <c r="C374" t="s">
        <v>4832</v>
      </c>
      <c r="D374" s="39" t="s">
        <v>92</v>
      </c>
      <c r="E374" s="39" t="s">
        <v>93</v>
      </c>
      <c r="F374" s="39" t="s">
        <v>35</v>
      </c>
      <c r="G374" s="39" t="s">
        <v>36</v>
      </c>
      <c r="I374" s="39" t="s">
        <v>94</v>
      </c>
      <c r="J374" s="39" t="s">
        <v>35</v>
      </c>
      <c r="K374" t="s">
        <v>95</v>
      </c>
      <c r="L374" t="s">
        <v>96</v>
      </c>
      <c r="M374" s="6" t="s">
        <v>3600</v>
      </c>
      <c r="N374" t="s">
        <v>97</v>
      </c>
      <c r="O374" t="s">
        <v>98</v>
      </c>
      <c r="P374" s="35" t="s">
        <v>99</v>
      </c>
      <c r="Q374" t="s">
        <v>100</v>
      </c>
      <c r="R374" t="s">
        <v>101</v>
      </c>
      <c r="S374" s="6" t="s">
        <v>4807</v>
      </c>
      <c r="T374" s="43" t="s">
        <v>102</v>
      </c>
      <c r="U374" s="43" t="s">
        <v>103</v>
      </c>
      <c r="V374" t="s">
        <v>104</v>
      </c>
      <c r="W374" s="57" t="s">
        <v>105</v>
      </c>
      <c r="X374" s="57"/>
      <c r="Y374" t="s">
        <v>99</v>
      </c>
      <c r="Z374" s="39" t="s">
        <v>99</v>
      </c>
      <c r="AA374" s="39"/>
      <c r="AB374" t="s">
        <v>100</v>
      </c>
      <c r="AC374" s="42">
        <v>43160</v>
      </c>
      <c r="AD374" s="42">
        <v>44652</v>
      </c>
      <c r="AE374" s="53" t="s">
        <v>51</v>
      </c>
      <c r="AF374" s="54" t="s">
        <v>35</v>
      </c>
      <c r="AG374" s="54"/>
      <c r="AH374" s="39" t="s">
        <v>52</v>
      </c>
      <c r="AI374" s="39" t="s">
        <v>52</v>
      </c>
    </row>
    <row r="375" spans="1:36" ht="17" x14ac:dyDescent="0.2">
      <c r="A375">
        <v>353</v>
      </c>
      <c r="B375">
        <v>104</v>
      </c>
      <c r="C375" t="s">
        <v>4837</v>
      </c>
      <c r="D375" s="39" t="s">
        <v>806</v>
      </c>
      <c r="E375" s="39" t="s">
        <v>93</v>
      </c>
      <c r="F375" s="39" t="s">
        <v>35</v>
      </c>
      <c r="G375" s="39" t="s">
        <v>55</v>
      </c>
      <c r="I375" s="39" t="s">
        <v>807</v>
      </c>
      <c r="J375" s="39" t="s">
        <v>35</v>
      </c>
      <c r="K375" t="s">
        <v>808</v>
      </c>
      <c r="L375" s="49" t="s">
        <v>809</v>
      </c>
      <c r="M375" s="6" t="s">
        <v>4810</v>
      </c>
      <c r="N375" s="36" t="s">
        <v>86</v>
      </c>
      <c r="O375" t="s">
        <v>49</v>
      </c>
      <c r="P375" s="35" t="s">
        <v>50</v>
      </c>
      <c r="Q375" t="s">
        <v>44</v>
      </c>
      <c r="R375" t="s">
        <v>810</v>
      </c>
      <c r="S375" s="6" t="s">
        <v>5991</v>
      </c>
      <c r="T375" s="43" t="s">
        <v>48</v>
      </c>
      <c r="U375" s="43" t="s">
        <v>324</v>
      </c>
      <c r="V375" t="s">
        <v>49</v>
      </c>
      <c r="W375" s="57"/>
      <c r="X375" s="57"/>
      <c r="Y375" t="s">
        <v>50</v>
      </c>
      <c r="Z375" s="39"/>
      <c r="AA375" s="39"/>
      <c r="AB375" t="s">
        <v>811</v>
      </c>
      <c r="AC375" s="42">
        <v>41058</v>
      </c>
      <c r="AD375" s="42">
        <v>41623</v>
      </c>
      <c r="AE375" s="53" t="s">
        <v>453</v>
      </c>
      <c r="AF375" s="54" t="s">
        <v>157</v>
      </c>
      <c r="AG375" s="54" t="s">
        <v>425</v>
      </c>
      <c r="AH375" s="39" t="s">
        <v>70</v>
      </c>
      <c r="AI375" s="39" t="s">
        <v>70</v>
      </c>
    </row>
    <row r="376" spans="1:36" ht="17" x14ac:dyDescent="0.2">
      <c r="A376">
        <v>143</v>
      </c>
      <c r="B376">
        <v>113</v>
      </c>
      <c r="C376" t="s">
        <v>4839</v>
      </c>
      <c r="D376" s="39" t="s">
        <v>866</v>
      </c>
      <c r="E376" s="39" t="s">
        <v>93</v>
      </c>
      <c r="F376" s="39" t="s">
        <v>35</v>
      </c>
      <c r="G376" s="39" t="s">
        <v>205</v>
      </c>
      <c r="I376" s="39" t="s">
        <v>867</v>
      </c>
      <c r="J376" s="39" t="s">
        <v>35</v>
      </c>
      <c r="K376" t="s">
        <v>868</v>
      </c>
      <c r="L376" s="49" t="s">
        <v>869</v>
      </c>
      <c r="M376" s="6" t="s">
        <v>35</v>
      </c>
      <c r="N376" s="36" t="s">
        <v>86</v>
      </c>
      <c r="P376" s="35"/>
      <c r="Q376" t="s">
        <v>44</v>
      </c>
      <c r="R376" t="s">
        <v>870</v>
      </c>
      <c r="S376" s="6" t="s">
        <v>35</v>
      </c>
      <c r="T376" s="43" t="s">
        <v>871</v>
      </c>
      <c r="U376" s="43" t="s">
        <v>872</v>
      </c>
      <c r="V376" t="s">
        <v>49</v>
      </c>
      <c r="W376" s="57"/>
      <c r="X376" s="57"/>
      <c r="Y376" t="s">
        <v>50</v>
      </c>
      <c r="Z376" s="39"/>
      <c r="AA376" s="39"/>
      <c r="AB376" t="s">
        <v>44</v>
      </c>
      <c r="AC376" s="42">
        <v>36280</v>
      </c>
      <c r="AD376" s="42">
        <v>37649</v>
      </c>
      <c r="AE376" s="53" t="s">
        <v>730</v>
      </c>
      <c r="AF376" s="54" t="s">
        <v>35</v>
      </c>
      <c r="AG376" s="54"/>
      <c r="AH376" s="39" t="s">
        <v>52</v>
      </c>
      <c r="AI376" s="39" t="s">
        <v>70</v>
      </c>
    </row>
    <row r="377" spans="1:36" ht="34" x14ac:dyDescent="0.2">
      <c r="A377">
        <v>269</v>
      </c>
      <c r="B377">
        <v>228</v>
      </c>
      <c r="C377" t="s">
        <v>4842</v>
      </c>
      <c r="D377" s="39" t="s">
        <v>1537</v>
      </c>
      <c r="E377" s="39" t="s">
        <v>93</v>
      </c>
      <c r="F377" s="39" t="s">
        <v>35</v>
      </c>
      <c r="G377" s="39" t="s">
        <v>82</v>
      </c>
      <c r="I377" s="39" t="s">
        <v>1538</v>
      </c>
      <c r="J377" s="39" t="s">
        <v>35</v>
      </c>
      <c r="K377" t="s">
        <v>1539</v>
      </c>
      <c r="L377" t="s">
        <v>1540</v>
      </c>
      <c r="M377" s="6" t="s">
        <v>6020</v>
      </c>
      <c r="N377" t="s">
        <v>86</v>
      </c>
      <c r="O377" t="s">
        <v>49</v>
      </c>
      <c r="P377" s="35" t="s">
        <v>50</v>
      </c>
      <c r="Q377" t="s">
        <v>44</v>
      </c>
      <c r="R377" t="s">
        <v>551</v>
      </c>
      <c r="S377" s="6" t="s">
        <v>6228</v>
      </c>
      <c r="T377" s="43" t="s">
        <v>47</v>
      </c>
      <c r="U377" s="43" t="s">
        <v>246</v>
      </c>
      <c r="V377" t="s">
        <v>49</v>
      </c>
      <c r="W377" s="57"/>
      <c r="X377" s="57"/>
      <c r="Y377" t="s">
        <v>50</v>
      </c>
      <c r="Z377" s="39"/>
      <c r="AA377" s="39"/>
      <c r="AB377" t="s">
        <v>44</v>
      </c>
      <c r="AC377" s="42">
        <v>38732</v>
      </c>
      <c r="AD377" s="42">
        <v>39406</v>
      </c>
      <c r="AE377" s="53" t="s">
        <v>51</v>
      </c>
      <c r="AF377" s="54" t="s">
        <v>35</v>
      </c>
      <c r="AG377" s="54"/>
      <c r="AH377" s="39" t="s">
        <v>52</v>
      </c>
      <c r="AI377" s="39" t="s">
        <v>52</v>
      </c>
    </row>
    <row r="378" spans="1:36" ht="17" x14ac:dyDescent="0.2">
      <c r="A378">
        <v>134</v>
      </c>
      <c r="B378">
        <v>282</v>
      </c>
      <c r="C378" t="s">
        <v>4845</v>
      </c>
      <c r="D378" s="39" t="s">
        <v>1799</v>
      </c>
      <c r="E378" s="39" t="s">
        <v>93</v>
      </c>
      <c r="F378" s="39" t="s">
        <v>35</v>
      </c>
      <c r="G378" s="39" t="s">
        <v>205</v>
      </c>
      <c r="I378" s="39" t="s">
        <v>1800</v>
      </c>
      <c r="J378" s="39" t="s">
        <v>35</v>
      </c>
      <c r="K378" t="s">
        <v>1801</v>
      </c>
      <c r="L378" t="s">
        <v>1802</v>
      </c>
      <c r="M378" s="6" t="s">
        <v>4821</v>
      </c>
      <c r="N378" t="s">
        <v>86</v>
      </c>
      <c r="O378" t="s">
        <v>1803</v>
      </c>
      <c r="P378" s="35" t="s">
        <v>50</v>
      </c>
      <c r="Q378" t="s">
        <v>44</v>
      </c>
      <c r="R378" t="s">
        <v>1804</v>
      </c>
      <c r="S378" s="6" t="s">
        <v>4822</v>
      </c>
      <c r="T378" s="43" t="s">
        <v>494</v>
      </c>
      <c r="U378" s="43" t="s">
        <v>1273</v>
      </c>
      <c r="V378" t="s">
        <v>1805</v>
      </c>
      <c r="W378" s="57"/>
      <c r="X378" s="57"/>
      <c r="Y378" t="s">
        <v>50</v>
      </c>
      <c r="Z378" s="39"/>
      <c r="AA378" s="39"/>
      <c r="AB378" t="s">
        <v>811</v>
      </c>
      <c r="AC378" s="42">
        <v>36280</v>
      </c>
      <c r="AD378" s="42">
        <v>37298</v>
      </c>
      <c r="AE378" s="53" t="s">
        <v>116</v>
      </c>
      <c r="AF378" s="54" t="s">
        <v>35</v>
      </c>
      <c r="AG378" s="54"/>
      <c r="AH378" s="39" t="s">
        <v>70</v>
      </c>
      <c r="AI378" s="39" t="s">
        <v>52</v>
      </c>
    </row>
    <row r="379" spans="1:36" ht="17" x14ac:dyDescent="0.2">
      <c r="B379">
        <v>372</v>
      </c>
      <c r="C379" t="s">
        <v>4848</v>
      </c>
      <c r="D379" s="39" t="s">
        <v>2266</v>
      </c>
      <c r="E379" s="39" t="s">
        <v>93</v>
      </c>
      <c r="F379" s="39" t="s">
        <v>35</v>
      </c>
      <c r="G379" s="39" t="s">
        <v>35</v>
      </c>
      <c r="I379" s="39" t="s">
        <v>497</v>
      </c>
      <c r="J379" s="39" t="s">
        <v>35</v>
      </c>
      <c r="K379" s="24" t="s">
        <v>2267</v>
      </c>
      <c r="L379" t="s">
        <v>35</v>
      </c>
      <c r="M379" s="6" t="s">
        <v>3655</v>
      </c>
      <c r="P379" s="35"/>
      <c r="Q379" t="s">
        <v>35</v>
      </c>
      <c r="S379" s="6" t="s">
        <v>4827</v>
      </c>
      <c r="T379" s="43" t="s">
        <v>35</v>
      </c>
      <c r="U379" s="43" t="s">
        <v>35</v>
      </c>
      <c r="W379" s="57"/>
      <c r="X379" s="57"/>
      <c r="Z379" s="39"/>
      <c r="AA379" s="39"/>
      <c r="AB379" t="s">
        <v>35</v>
      </c>
      <c r="AD379" s="42" t="s">
        <v>35</v>
      </c>
      <c r="AE379" s="53" t="s">
        <v>51</v>
      </c>
      <c r="AF379" s="54" t="s">
        <v>35</v>
      </c>
      <c r="AG379" s="54"/>
      <c r="AH379" s="39" t="s">
        <v>52</v>
      </c>
      <c r="AI379" s="39" t="s">
        <v>52</v>
      </c>
    </row>
    <row r="380" spans="1:36" ht="17" x14ac:dyDescent="0.2">
      <c r="A380">
        <v>195</v>
      </c>
      <c r="B380">
        <v>402</v>
      </c>
      <c r="C380" t="s">
        <v>4849</v>
      </c>
      <c r="D380" s="39" t="s">
        <v>2412</v>
      </c>
      <c r="E380" s="39" t="s">
        <v>93</v>
      </c>
      <c r="F380" s="39" t="s">
        <v>35</v>
      </c>
      <c r="G380" s="39" t="s">
        <v>82</v>
      </c>
      <c r="I380" s="39" t="s">
        <v>2413</v>
      </c>
      <c r="J380" s="39" t="s">
        <v>2414</v>
      </c>
      <c r="K380" t="s">
        <v>2415</v>
      </c>
      <c r="L380" t="s">
        <v>2416</v>
      </c>
      <c r="M380" s="6" t="s">
        <v>4830</v>
      </c>
      <c r="N380" t="s">
        <v>86</v>
      </c>
      <c r="O380" t="s">
        <v>49</v>
      </c>
      <c r="P380" s="35" t="s">
        <v>50</v>
      </c>
      <c r="Q380" t="s">
        <v>980</v>
      </c>
      <c r="R380" t="s">
        <v>2417</v>
      </c>
      <c r="S380" s="6" t="s">
        <v>3493</v>
      </c>
      <c r="T380" s="43" t="s">
        <v>47</v>
      </c>
      <c r="U380" s="43" t="s">
        <v>1524</v>
      </c>
      <c r="V380" t="s">
        <v>49</v>
      </c>
      <c r="W380" s="57"/>
      <c r="X380" s="57"/>
      <c r="Y380" t="s">
        <v>50</v>
      </c>
      <c r="Z380" s="39"/>
      <c r="AA380" s="39"/>
      <c r="AB380" t="s">
        <v>76</v>
      </c>
      <c r="AC380" s="42">
        <v>37025</v>
      </c>
      <c r="AD380" s="42">
        <v>37649</v>
      </c>
      <c r="AE380" s="53" t="s">
        <v>51</v>
      </c>
      <c r="AF380" s="54" t="s">
        <v>35</v>
      </c>
      <c r="AG380" s="54"/>
      <c r="AH380" s="39" t="s">
        <v>52</v>
      </c>
      <c r="AI380" s="39" t="s">
        <v>52</v>
      </c>
    </row>
    <row r="381" spans="1:36" ht="17" x14ac:dyDescent="0.2">
      <c r="A381">
        <v>609</v>
      </c>
      <c r="B381">
        <v>539</v>
      </c>
      <c r="C381" t="s">
        <v>5827</v>
      </c>
      <c r="D381" s="39" t="s">
        <v>3054</v>
      </c>
      <c r="E381" s="39" t="s">
        <v>93</v>
      </c>
      <c r="F381" s="39" t="s">
        <v>35</v>
      </c>
      <c r="G381" s="39" t="s">
        <v>259</v>
      </c>
      <c r="I381" s="39" t="s">
        <v>3055</v>
      </c>
      <c r="J381" s="39" t="s">
        <v>35</v>
      </c>
      <c r="K381" t="s">
        <v>3056</v>
      </c>
      <c r="L381" t="s">
        <v>3057</v>
      </c>
      <c r="M381" s="6" t="s">
        <v>6021</v>
      </c>
      <c r="N381" t="s">
        <v>131</v>
      </c>
      <c r="O381" t="s">
        <v>1536</v>
      </c>
      <c r="P381" s="35" t="s">
        <v>99</v>
      </c>
      <c r="Q381" t="s">
        <v>100</v>
      </c>
      <c r="R381" t="s">
        <v>58</v>
      </c>
      <c r="S381" s="6" t="s">
        <v>4834</v>
      </c>
      <c r="T381" s="43" t="s">
        <v>459</v>
      </c>
      <c r="U381" s="43" t="s">
        <v>459</v>
      </c>
      <c r="V381" t="s">
        <v>49</v>
      </c>
      <c r="W381" s="57"/>
      <c r="X381" s="57"/>
      <c r="Y381" t="s">
        <v>50</v>
      </c>
      <c r="Z381" s="39"/>
      <c r="AA381" s="39"/>
      <c r="AB381" t="s">
        <v>62</v>
      </c>
      <c r="AC381" s="42">
        <v>44570</v>
      </c>
      <c r="AD381" s="42">
        <v>45662</v>
      </c>
      <c r="AE381" s="53" t="s">
        <v>453</v>
      </c>
      <c r="AF381" s="54" t="s">
        <v>35</v>
      </c>
      <c r="AG381" s="54"/>
      <c r="AH381" s="39" t="s">
        <v>70</v>
      </c>
      <c r="AI381" s="39" t="s">
        <v>70</v>
      </c>
    </row>
    <row r="382" spans="1:36" ht="17" x14ac:dyDescent="0.2">
      <c r="A382">
        <v>564</v>
      </c>
      <c r="B382">
        <v>591</v>
      </c>
      <c r="C382" t="s">
        <v>4856</v>
      </c>
      <c r="D382" s="39" t="s">
        <v>3304</v>
      </c>
      <c r="E382" s="39" t="s">
        <v>93</v>
      </c>
      <c r="F382" s="39" t="s">
        <v>35</v>
      </c>
      <c r="G382" s="39" t="s">
        <v>36</v>
      </c>
      <c r="I382" s="39" t="s">
        <v>3305</v>
      </c>
      <c r="J382" s="39" t="s">
        <v>3306</v>
      </c>
      <c r="K382" t="s">
        <v>3307</v>
      </c>
      <c r="L382" t="s">
        <v>3308</v>
      </c>
      <c r="M382" s="6" t="s">
        <v>5091</v>
      </c>
      <c r="N382" t="s">
        <v>59</v>
      </c>
      <c r="O382" t="s">
        <v>621</v>
      </c>
      <c r="P382" s="35" t="s">
        <v>622</v>
      </c>
      <c r="Q382" t="s">
        <v>44</v>
      </c>
      <c r="R382" t="s">
        <v>3309</v>
      </c>
      <c r="S382" s="6" t="s">
        <v>4032</v>
      </c>
      <c r="T382" s="43" t="s">
        <v>729</v>
      </c>
      <c r="U382" s="43" t="s">
        <v>154</v>
      </c>
      <c r="V382" t="s">
        <v>639</v>
      </c>
      <c r="W382" s="57"/>
      <c r="X382" s="57"/>
      <c r="Y382" t="s">
        <v>640</v>
      </c>
      <c r="Z382" s="39"/>
      <c r="AA382" s="39"/>
      <c r="AB382" t="s">
        <v>44</v>
      </c>
      <c r="AD382" s="42" t="s">
        <v>35</v>
      </c>
      <c r="AE382" s="53" t="s">
        <v>51</v>
      </c>
      <c r="AF382" s="54" t="s">
        <v>35</v>
      </c>
      <c r="AG382" s="54"/>
      <c r="AH382" s="39" t="s">
        <v>52</v>
      </c>
      <c r="AI382" s="39" t="s">
        <v>52</v>
      </c>
    </row>
    <row r="383" spans="1:36" ht="34" x14ac:dyDescent="0.2">
      <c r="A383">
        <v>25</v>
      </c>
      <c r="B383">
        <v>189</v>
      </c>
      <c r="C383" t="s">
        <v>4861</v>
      </c>
      <c r="D383" s="39" t="s">
        <v>1322</v>
      </c>
      <c r="E383" s="39" t="s">
        <v>1323</v>
      </c>
      <c r="F383" s="39" t="s">
        <v>35</v>
      </c>
      <c r="G383" s="39" t="s">
        <v>194</v>
      </c>
      <c r="I383" s="39" t="s">
        <v>35</v>
      </c>
      <c r="J383" s="39" t="s">
        <v>35</v>
      </c>
      <c r="M383" s="6" t="s">
        <v>4840</v>
      </c>
      <c r="P383" s="35"/>
      <c r="Q383" t="s">
        <v>35</v>
      </c>
      <c r="S383" s="6" t="s">
        <v>4841</v>
      </c>
      <c r="T383" s="43" t="s">
        <v>35</v>
      </c>
      <c r="U383" s="43" t="s">
        <v>35</v>
      </c>
      <c r="W383" s="57"/>
      <c r="X383" s="57"/>
      <c r="Z383" s="39"/>
      <c r="AA383" s="39"/>
      <c r="AB383" t="s">
        <v>35</v>
      </c>
      <c r="AC383" s="42">
        <v>33240</v>
      </c>
      <c r="AD383" s="42">
        <v>34233</v>
      </c>
      <c r="AE383" s="53" t="s">
        <v>116</v>
      </c>
      <c r="AF383" s="54" t="s">
        <v>35</v>
      </c>
      <c r="AG383" s="54"/>
      <c r="AH383" s="39" t="s">
        <v>70</v>
      </c>
      <c r="AI383" s="39" t="s">
        <v>52</v>
      </c>
    </row>
    <row r="384" spans="1:36" ht="17" x14ac:dyDescent="0.2">
      <c r="A384">
        <v>401</v>
      </c>
      <c r="B384">
        <v>171</v>
      </c>
      <c r="C384" t="s">
        <v>4863</v>
      </c>
      <c r="D384" s="39" t="s">
        <v>1211</v>
      </c>
      <c r="E384" s="39" t="s">
        <v>1212</v>
      </c>
      <c r="F384" s="39" t="s">
        <v>35</v>
      </c>
      <c r="G384" s="39" t="s">
        <v>36</v>
      </c>
      <c r="I384" s="39" t="s">
        <v>1213</v>
      </c>
      <c r="J384" s="39" t="s">
        <v>35</v>
      </c>
      <c r="K384" t="s">
        <v>1214</v>
      </c>
      <c r="L384" s="49" t="s">
        <v>1215</v>
      </c>
      <c r="M384" s="6" t="s">
        <v>6022</v>
      </c>
      <c r="N384" t="s">
        <v>86</v>
      </c>
      <c r="O384" t="s">
        <v>49</v>
      </c>
      <c r="P384" s="35" t="s">
        <v>50</v>
      </c>
      <c r="Q384" t="s">
        <v>62</v>
      </c>
      <c r="R384" t="s">
        <v>1215</v>
      </c>
      <c r="S384" s="6" t="s">
        <v>157</v>
      </c>
      <c r="T384" s="43" t="s">
        <v>1216</v>
      </c>
      <c r="U384" s="43" t="s">
        <v>1204</v>
      </c>
      <c r="V384" t="s">
        <v>49</v>
      </c>
      <c r="W384" s="57"/>
      <c r="X384" s="57"/>
      <c r="Y384" t="s">
        <v>50</v>
      </c>
      <c r="Z384" s="39"/>
      <c r="AA384" s="39"/>
      <c r="AB384" t="s">
        <v>62</v>
      </c>
      <c r="AC384" s="42">
        <v>42380</v>
      </c>
      <c r="AD384" s="42">
        <v>43367</v>
      </c>
      <c r="AE384" s="53" t="s">
        <v>68</v>
      </c>
      <c r="AF384" s="54" t="s">
        <v>35</v>
      </c>
      <c r="AG384" s="54"/>
      <c r="AH384" s="39" t="s">
        <v>70</v>
      </c>
      <c r="AI384" s="39" t="s">
        <v>52</v>
      </c>
    </row>
    <row r="385" spans="1:35" ht="17" x14ac:dyDescent="0.2">
      <c r="A385">
        <v>537</v>
      </c>
      <c r="B385">
        <v>444</v>
      </c>
      <c r="C385" t="s">
        <v>5815</v>
      </c>
      <c r="D385" s="39" t="s">
        <v>2604</v>
      </c>
      <c r="E385" s="39" t="s">
        <v>1212</v>
      </c>
      <c r="F385" s="39" t="s">
        <v>35</v>
      </c>
      <c r="G385" s="39" t="s">
        <v>36</v>
      </c>
      <c r="I385" s="39" t="s">
        <v>2605</v>
      </c>
      <c r="J385" s="39" t="s">
        <v>2606</v>
      </c>
      <c r="K385" t="s">
        <v>2607</v>
      </c>
      <c r="L385" t="s">
        <v>355</v>
      </c>
      <c r="M385" s="6" t="s">
        <v>6023</v>
      </c>
      <c r="N385" t="s">
        <v>131</v>
      </c>
      <c r="O385" t="s">
        <v>42</v>
      </c>
      <c r="P385" s="35" t="s">
        <v>43</v>
      </c>
      <c r="Q385" t="s">
        <v>44</v>
      </c>
      <c r="R385" t="s">
        <v>77</v>
      </c>
      <c r="S385" s="6" t="s">
        <v>4847</v>
      </c>
      <c r="T385" s="43" t="s">
        <v>494</v>
      </c>
      <c r="U385" s="43" t="s">
        <v>494</v>
      </c>
      <c r="V385" t="s">
        <v>42</v>
      </c>
      <c r="W385" s="57"/>
      <c r="X385" s="57"/>
      <c r="Y385" t="s">
        <v>43</v>
      </c>
      <c r="Z385" s="39"/>
      <c r="AA385" s="39"/>
      <c r="AB385" t="s">
        <v>44</v>
      </c>
      <c r="AE385" s="53" t="s">
        <v>239</v>
      </c>
      <c r="AF385" s="54" t="s">
        <v>35</v>
      </c>
      <c r="AG385" s="54"/>
      <c r="AH385" s="39" t="s">
        <v>70</v>
      </c>
      <c r="AI385" s="39" t="s">
        <v>52</v>
      </c>
    </row>
    <row r="386" spans="1:35" ht="17" x14ac:dyDescent="0.2">
      <c r="A386" t="s">
        <v>35</v>
      </c>
      <c r="B386">
        <v>80</v>
      </c>
      <c r="C386" t="s">
        <v>5772</v>
      </c>
      <c r="D386" s="39" t="s">
        <v>654</v>
      </c>
      <c r="E386" s="39" t="s">
        <v>655</v>
      </c>
      <c r="F386" s="39" t="s">
        <v>35</v>
      </c>
      <c r="G386" s="39" t="s">
        <v>35</v>
      </c>
      <c r="I386" s="39" t="s">
        <v>35</v>
      </c>
      <c r="J386" s="39" t="s">
        <v>35</v>
      </c>
      <c r="K386" t="s">
        <v>656</v>
      </c>
      <c r="L386" s="49" t="s">
        <v>657</v>
      </c>
      <c r="M386" s="6" t="s">
        <v>35</v>
      </c>
      <c r="N386" t="s">
        <v>131</v>
      </c>
      <c r="O386" t="s">
        <v>49</v>
      </c>
      <c r="P386" s="35" t="s">
        <v>50</v>
      </c>
      <c r="Q386" t="s">
        <v>44</v>
      </c>
      <c r="R386" t="s">
        <v>658</v>
      </c>
      <c r="S386" s="6" t="s">
        <v>35</v>
      </c>
      <c r="T386" s="43" t="s">
        <v>246</v>
      </c>
      <c r="U386" s="43" t="s">
        <v>459</v>
      </c>
      <c r="V386" t="s">
        <v>49</v>
      </c>
      <c r="W386" s="57"/>
      <c r="X386" s="57"/>
      <c r="Y386" t="s">
        <v>50</v>
      </c>
      <c r="Z386" s="39"/>
      <c r="AA386" s="39"/>
      <c r="AB386" t="s">
        <v>44</v>
      </c>
      <c r="AC386" s="42">
        <v>44564</v>
      </c>
      <c r="AD386" s="42">
        <v>45295</v>
      </c>
      <c r="AE386" s="53" t="s">
        <v>51</v>
      </c>
      <c r="AF386" s="54" t="s">
        <v>35</v>
      </c>
      <c r="AG386" s="54"/>
      <c r="AH386" s="39" t="s">
        <v>52</v>
      </c>
      <c r="AI386" s="39" t="s">
        <v>52</v>
      </c>
    </row>
    <row r="387" spans="1:35" ht="17" x14ac:dyDescent="0.2">
      <c r="A387">
        <v>196</v>
      </c>
      <c r="B387">
        <v>201</v>
      </c>
      <c r="C387" t="s">
        <v>4866</v>
      </c>
      <c r="D387" s="39" t="s">
        <v>1375</v>
      </c>
      <c r="E387" s="39" t="s">
        <v>655</v>
      </c>
      <c r="F387" s="39" t="s">
        <v>35</v>
      </c>
      <c r="G387" s="39" t="s">
        <v>82</v>
      </c>
      <c r="I387" s="39" t="s">
        <v>1376</v>
      </c>
      <c r="J387" s="39" t="s">
        <v>35</v>
      </c>
      <c r="K387" t="s">
        <v>1377</v>
      </c>
      <c r="L387" t="s">
        <v>35</v>
      </c>
      <c r="M387" s="6" t="s">
        <v>3589</v>
      </c>
      <c r="N387" s="36" t="s">
        <v>86</v>
      </c>
      <c r="O387" t="s">
        <v>49</v>
      </c>
      <c r="P387" s="35" t="s">
        <v>50</v>
      </c>
      <c r="Q387" t="s">
        <v>44</v>
      </c>
      <c r="R387" t="s">
        <v>1378</v>
      </c>
      <c r="S387" s="6" t="s">
        <v>4854</v>
      </c>
      <c r="T387" s="43" t="s">
        <v>935</v>
      </c>
      <c r="U387" s="43" t="s">
        <v>125</v>
      </c>
      <c r="V387" t="s">
        <v>49</v>
      </c>
      <c r="W387" s="57"/>
      <c r="X387" s="57"/>
      <c r="Y387" t="s">
        <v>50</v>
      </c>
      <c r="Z387" s="39"/>
      <c r="AA387" s="39"/>
      <c r="AB387" t="s">
        <v>44</v>
      </c>
      <c r="AC387" s="42">
        <v>37278</v>
      </c>
      <c r="AD387" s="42">
        <v>37649</v>
      </c>
      <c r="AE387" s="53" t="s">
        <v>425</v>
      </c>
      <c r="AF387" s="54" t="s">
        <v>35</v>
      </c>
      <c r="AG387" s="54"/>
      <c r="AH387" s="39" t="s">
        <v>52</v>
      </c>
      <c r="AI387" s="39" t="s">
        <v>70</v>
      </c>
    </row>
    <row r="388" spans="1:35" ht="17" x14ac:dyDescent="0.2">
      <c r="A388">
        <v>82</v>
      </c>
      <c r="B388">
        <v>27</v>
      </c>
      <c r="C388" t="s">
        <v>4871</v>
      </c>
      <c r="D388" s="39" t="s">
        <v>291</v>
      </c>
      <c r="E388" s="39" t="s">
        <v>292</v>
      </c>
      <c r="F388" s="39" t="s">
        <v>35</v>
      </c>
      <c r="G388" s="39" t="s">
        <v>194</v>
      </c>
      <c r="I388" s="39" t="s">
        <v>35</v>
      </c>
      <c r="J388" s="39" t="s">
        <v>35</v>
      </c>
      <c r="M388" s="6" t="s">
        <v>6024</v>
      </c>
      <c r="P388" s="35"/>
      <c r="Q388" t="s">
        <v>35</v>
      </c>
      <c r="S388" s="6" t="s">
        <v>4047</v>
      </c>
      <c r="T388" s="43" t="s">
        <v>35</v>
      </c>
      <c r="U388" s="43" t="s">
        <v>35</v>
      </c>
      <c r="W388" s="57"/>
      <c r="X388" s="57"/>
      <c r="AB388" t="s">
        <v>35</v>
      </c>
      <c r="AC388" s="42">
        <v>34074</v>
      </c>
      <c r="AD388" s="42">
        <v>34233</v>
      </c>
      <c r="AE388" s="53" t="s">
        <v>51</v>
      </c>
      <c r="AF388" s="54" t="s">
        <v>35</v>
      </c>
      <c r="AG388" s="54"/>
      <c r="AH388" s="39" t="s">
        <v>52</v>
      </c>
      <c r="AI388" s="39" t="s">
        <v>52</v>
      </c>
    </row>
    <row r="389" spans="1:35" ht="17" x14ac:dyDescent="0.2">
      <c r="A389">
        <v>358</v>
      </c>
      <c r="B389">
        <v>125</v>
      </c>
      <c r="C389" t="s">
        <v>4872</v>
      </c>
      <c r="D389" s="39" t="s">
        <v>947</v>
      </c>
      <c r="E389" s="39" t="s">
        <v>948</v>
      </c>
      <c r="F389" s="39" t="s">
        <v>35</v>
      </c>
      <c r="G389" s="39" t="s">
        <v>160</v>
      </c>
      <c r="I389" s="39" t="s">
        <v>949</v>
      </c>
      <c r="J389" s="39" t="s">
        <v>35</v>
      </c>
      <c r="K389" t="s">
        <v>950</v>
      </c>
      <c r="L389" s="49" t="s">
        <v>951</v>
      </c>
      <c r="M389" s="6" t="s">
        <v>4495</v>
      </c>
      <c r="N389" t="s">
        <v>59</v>
      </c>
      <c r="O389" t="s">
        <v>123</v>
      </c>
      <c r="P389" s="35"/>
      <c r="Q389" t="s">
        <v>100</v>
      </c>
      <c r="R389" t="s">
        <v>952</v>
      </c>
      <c r="S389" s="6" t="s">
        <v>3971</v>
      </c>
      <c r="T389" s="43" t="s">
        <v>953</v>
      </c>
      <c r="U389" s="43" t="s">
        <v>954</v>
      </c>
      <c r="V389" t="s">
        <v>98</v>
      </c>
      <c r="W389" s="57"/>
      <c r="X389" s="57"/>
      <c r="Y389" t="s">
        <v>99</v>
      </c>
      <c r="Z389" s="39"/>
      <c r="AA389" s="39"/>
      <c r="AB389" t="s">
        <v>100</v>
      </c>
      <c r="AC389" s="42">
        <v>41310</v>
      </c>
      <c r="AD389" s="42">
        <v>41666</v>
      </c>
      <c r="AE389" s="53" t="s">
        <v>955</v>
      </c>
      <c r="AF389" s="54" t="s">
        <v>35</v>
      </c>
      <c r="AG389" s="54"/>
      <c r="AH389" s="39" t="s">
        <v>52</v>
      </c>
      <c r="AI389" s="39" t="s">
        <v>70</v>
      </c>
    </row>
    <row r="390" spans="1:35" ht="17" x14ac:dyDescent="0.2">
      <c r="A390">
        <v>11</v>
      </c>
      <c r="B390">
        <v>12</v>
      </c>
      <c r="C390" t="s">
        <v>4882</v>
      </c>
      <c r="D390" s="39" t="s">
        <v>166</v>
      </c>
      <c r="E390" s="39" t="s">
        <v>167</v>
      </c>
      <c r="F390" s="39" t="s">
        <v>35</v>
      </c>
      <c r="G390" s="39" t="s">
        <v>139</v>
      </c>
      <c r="I390" s="39" t="s">
        <v>168</v>
      </c>
      <c r="J390" s="39" t="s">
        <v>35</v>
      </c>
      <c r="K390" t="s">
        <v>169</v>
      </c>
      <c r="L390" t="s">
        <v>170</v>
      </c>
      <c r="M390" s="6" t="s">
        <v>35</v>
      </c>
      <c r="O390" t="s">
        <v>49</v>
      </c>
      <c r="P390" s="35" t="s">
        <v>50</v>
      </c>
      <c r="Q390" t="s">
        <v>44</v>
      </c>
      <c r="R390" t="s">
        <v>171</v>
      </c>
      <c r="S390" s="6" t="s">
        <v>35</v>
      </c>
      <c r="T390" s="43" t="s">
        <v>172</v>
      </c>
      <c r="U390" s="43" t="s">
        <v>173</v>
      </c>
      <c r="V390" t="s">
        <v>49</v>
      </c>
      <c r="W390" s="57"/>
      <c r="X390" s="57"/>
      <c r="Y390" t="s">
        <v>50</v>
      </c>
      <c r="Z390" s="39"/>
      <c r="AA390" s="39"/>
      <c r="AB390" t="s">
        <v>62</v>
      </c>
      <c r="AC390" s="42">
        <v>33000</v>
      </c>
      <c r="AD390" s="42">
        <v>34233</v>
      </c>
      <c r="AE390" s="53" t="s">
        <v>116</v>
      </c>
      <c r="AF390" s="54" t="s">
        <v>35</v>
      </c>
      <c r="AG390" s="54"/>
      <c r="AH390" s="39" t="s">
        <v>70</v>
      </c>
      <c r="AI390" s="39" t="s">
        <v>52</v>
      </c>
    </row>
    <row r="391" spans="1:35" ht="17" x14ac:dyDescent="0.2">
      <c r="A391" t="s">
        <v>35</v>
      </c>
      <c r="B391">
        <v>35</v>
      </c>
      <c r="C391" t="s">
        <v>5759</v>
      </c>
      <c r="D391" s="39" t="s">
        <v>347</v>
      </c>
      <c r="E391" s="39" t="s">
        <v>348</v>
      </c>
      <c r="F391" s="39" t="s">
        <v>349</v>
      </c>
      <c r="G391" s="39" t="s">
        <v>36</v>
      </c>
      <c r="I391" s="39" t="s">
        <v>350</v>
      </c>
      <c r="J391" s="39" t="s">
        <v>35</v>
      </c>
      <c r="K391" t="s">
        <v>351</v>
      </c>
      <c r="L391" t="s">
        <v>352</v>
      </c>
      <c r="M391" s="6" t="s">
        <v>6025</v>
      </c>
      <c r="N391" t="s">
        <v>59</v>
      </c>
      <c r="O391" t="s">
        <v>353</v>
      </c>
      <c r="P391" s="35" t="s">
        <v>354</v>
      </c>
      <c r="Q391" t="s">
        <v>76</v>
      </c>
      <c r="R391" t="s">
        <v>355</v>
      </c>
      <c r="S391" s="6" t="s">
        <v>3555</v>
      </c>
      <c r="T391" s="43" t="s">
        <v>66</v>
      </c>
      <c r="U391" s="43" t="s">
        <v>66</v>
      </c>
      <c r="V391" t="s">
        <v>353</v>
      </c>
      <c r="W391" s="57"/>
      <c r="X391" s="57"/>
      <c r="Y391" t="s">
        <v>356</v>
      </c>
      <c r="Z391" s="39"/>
      <c r="AA391" s="39"/>
      <c r="AB391" t="s">
        <v>44</v>
      </c>
      <c r="AC391" s="42">
        <v>42751</v>
      </c>
      <c r="AD391" s="42">
        <v>43202</v>
      </c>
      <c r="AE391" s="53" t="s">
        <v>51</v>
      </c>
      <c r="AF391" s="54" t="s">
        <v>35</v>
      </c>
      <c r="AG391" s="54"/>
      <c r="AH391" s="39" t="s">
        <v>52</v>
      </c>
      <c r="AI391" s="39" t="s">
        <v>52</v>
      </c>
    </row>
    <row r="392" spans="1:35" ht="17" x14ac:dyDescent="0.2">
      <c r="A392">
        <v>251</v>
      </c>
      <c r="B392">
        <v>42</v>
      </c>
      <c r="C392" t="s">
        <v>4883</v>
      </c>
      <c r="D392" s="39" t="s">
        <v>389</v>
      </c>
      <c r="E392" s="39" t="s">
        <v>348</v>
      </c>
      <c r="F392" s="39" t="s">
        <v>35</v>
      </c>
      <c r="G392" s="39" t="s">
        <v>55</v>
      </c>
      <c r="I392" s="39" t="s">
        <v>396</v>
      </c>
      <c r="J392" s="39" t="s">
        <v>35</v>
      </c>
      <c r="K392" t="s">
        <v>397</v>
      </c>
      <c r="L392" t="s">
        <v>398</v>
      </c>
      <c r="M392" s="6" t="s">
        <v>3936</v>
      </c>
      <c r="N392" s="36" t="s">
        <v>86</v>
      </c>
      <c r="O392" t="s">
        <v>399</v>
      </c>
      <c r="P392" s="35" t="s">
        <v>50</v>
      </c>
      <c r="Q392" t="s">
        <v>44</v>
      </c>
      <c r="R392" t="s">
        <v>352</v>
      </c>
      <c r="S392" s="6" t="s">
        <v>5878</v>
      </c>
      <c r="T392" s="43" t="s">
        <v>255</v>
      </c>
      <c r="U392" s="43" t="s">
        <v>400</v>
      </c>
      <c r="V392" t="s">
        <v>401</v>
      </c>
      <c r="W392" s="57"/>
      <c r="X392" s="57"/>
      <c r="Y392" t="s">
        <v>50</v>
      </c>
      <c r="Z392" s="39"/>
      <c r="AA392" s="39"/>
      <c r="AB392" t="s">
        <v>44</v>
      </c>
      <c r="AC392" s="42">
        <v>38353</v>
      </c>
      <c r="AD392" s="42">
        <v>39124</v>
      </c>
      <c r="AE392" s="53" t="s">
        <v>403</v>
      </c>
      <c r="AF392" s="54" t="s">
        <v>35</v>
      </c>
      <c r="AG392" s="54"/>
      <c r="AH392" s="39" t="s">
        <v>52</v>
      </c>
      <c r="AI392" s="39" t="s">
        <v>70</v>
      </c>
    </row>
    <row r="393" spans="1:35" ht="17" x14ac:dyDescent="0.2">
      <c r="A393">
        <v>167</v>
      </c>
      <c r="B393">
        <v>44</v>
      </c>
      <c r="C393" t="s">
        <v>4887</v>
      </c>
      <c r="D393" s="39" t="s">
        <v>411</v>
      </c>
      <c r="E393" s="39" t="s">
        <v>348</v>
      </c>
      <c r="F393" s="39" t="s">
        <v>35</v>
      </c>
      <c r="G393" s="39" t="s">
        <v>205</v>
      </c>
      <c r="H393" s="39" t="s">
        <v>412</v>
      </c>
      <c r="I393" s="39" t="s">
        <v>413</v>
      </c>
      <c r="J393" s="39" t="s">
        <v>35</v>
      </c>
      <c r="K393" t="s">
        <v>414</v>
      </c>
      <c r="L393" t="s">
        <v>415</v>
      </c>
      <c r="M393" s="6" t="s">
        <v>3476</v>
      </c>
      <c r="N393" s="36" t="s">
        <v>86</v>
      </c>
      <c r="O393" t="s">
        <v>49</v>
      </c>
      <c r="P393" s="35" t="s">
        <v>50</v>
      </c>
      <c r="Q393" t="s">
        <v>44</v>
      </c>
      <c r="R393" t="s">
        <v>416</v>
      </c>
      <c r="S393" s="6" t="s">
        <v>6180</v>
      </c>
      <c r="T393" s="43" t="s">
        <v>417</v>
      </c>
      <c r="U393" s="43" t="s">
        <v>418</v>
      </c>
      <c r="V393" t="s">
        <v>49</v>
      </c>
      <c r="W393" s="57"/>
      <c r="X393" s="57"/>
      <c r="Y393" t="s">
        <v>50</v>
      </c>
      <c r="Z393" s="39"/>
      <c r="AA393" s="39"/>
      <c r="AB393" t="s">
        <v>35</v>
      </c>
      <c r="AC393" s="42">
        <v>36655</v>
      </c>
      <c r="AD393" s="42">
        <v>37298</v>
      </c>
      <c r="AE393" s="53" t="s">
        <v>51</v>
      </c>
      <c r="AF393" s="54" t="s">
        <v>35</v>
      </c>
      <c r="AG393" s="54"/>
      <c r="AH393" s="39" t="s">
        <v>52</v>
      </c>
      <c r="AI393" s="39" t="s">
        <v>52</v>
      </c>
    </row>
    <row r="394" spans="1:35" ht="17" x14ac:dyDescent="0.2">
      <c r="A394">
        <v>261</v>
      </c>
      <c r="B394">
        <v>62</v>
      </c>
      <c r="C394" t="s">
        <v>4890</v>
      </c>
      <c r="D394" s="39" t="s">
        <v>529</v>
      </c>
      <c r="E394" s="39" t="s">
        <v>348</v>
      </c>
      <c r="F394" s="39" t="s">
        <v>35</v>
      </c>
      <c r="G394" s="39" t="s">
        <v>82</v>
      </c>
      <c r="H394" s="34"/>
      <c r="I394" s="39" t="s">
        <v>530</v>
      </c>
      <c r="J394" s="39" t="s">
        <v>35</v>
      </c>
      <c r="K394" t="s">
        <v>531</v>
      </c>
      <c r="L394" s="49" t="s">
        <v>532</v>
      </c>
      <c r="M394" s="6" t="s">
        <v>6026</v>
      </c>
      <c r="N394" t="s">
        <v>86</v>
      </c>
      <c r="O394" t="s">
        <v>49</v>
      </c>
      <c r="P394" s="35" t="s">
        <v>50</v>
      </c>
      <c r="Q394" t="s">
        <v>44</v>
      </c>
      <c r="R394" t="s">
        <v>533</v>
      </c>
      <c r="S394" s="6" t="s">
        <v>4869</v>
      </c>
      <c r="T394" s="43" t="s">
        <v>534</v>
      </c>
      <c r="U394" s="43" t="s">
        <v>535</v>
      </c>
      <c r="V394" t="s">
        <v>49</v>
      </c>
      <c r="W394" s="57"/>
      <c r="X394" s="57"/>
      <c r="Y394" t="s">
        <v>50</v>
      </c>
      <c r="Z394" s="39"/>
      <c r="AA394" s="39"/>
      <c r="AB394" t="s">
        <v>76</v>
      </c>
      <c r="AC394" s="42">
        <v>38475</v>
      </c>
      <c r="AD394" s="42">
        <v>39448</v>
      </c>
      <c r="AE394" s="53" t="s">
        <v>453</v>
      </c>
      <c r="AF394" s="54" t="s">
        <v>35</v>
      </c>
      <c r="AG394" s="54"/>
      <c r="AH394" s="39" t="s">
        <v>70</v>
      </c>
      <c r="AI394" s="39" t="s">
        <v>52</v>
      </c>
    </row>
    <row r="395" spans="1:35" ht="17" x14ac:dyDescent="0.2">
      <c r="A395">
        <v>506</v>
      </c>
      <c r="B395">
        <v>202</v>
      </c>
      <c r="C395" t="s">
        <v>4894</v>
      </c>
      <c r="D395" s="39" t="s">
        <v>1379</v>
      </c>
      <c r="E395" s="39" t="s">
        <v>348</v>
      </c>
      <c r="F395" s="39" t="s">
        <v>35</v>
      </c>
      <c r="G395" s="39" t="s">
        <v>36</v>
      </c>
      <c r="I395" s="39" t="s">
        <v>1380</v>
      </c>
      <c r="J395" s="39" t="s">
        <v>1381</v>
      </c>
      <c r="K395" t="s">
        <v>1382</v>
      </c>
      <c r="L395" t="s">
        <v>1383</v>
      </c>
      <c r="M395" s="6" t="s">
        <v>35</v>
      </c>
      <c r="N395" t="s">
        <v>97</v>
      </c>
      <c r="O395" t="s">
        <v>60</v>
      </c>
      <c r="P395" s="35" t="s">
        <v>61</v>
      </c>
      <c r="Q395" t="s">
        <v>62</v>
      </c>
      <c r="R395" t="s">
        <v>1384</v>
      </c>
      <c r="S395" s="6" t="s">
        <v>35</v>
      </c>
      <c r="T395" s="43" t="s">
        <v>125</v>
      </c>
      <c r="U395" s="43" t="s">
        <v>940</v>
      </c>
      <c r="V395" t="s">
        <v>60</v>
      </c>
      <c r="W395" s="57"/>
      <c r="X395" s="57"/>
      <c r="Y395" t="s">
        <v>61</v>
      </c>
      <c r="Z395" s="39"/>
      <c r="AA395" s="39"/>
      <c r="AB395" t="s">
        <v>62</v>
      </c>
      <c r="AC395" s="42">
        <v>43738</v>
      </c>
      <c r="AD395" s="42">
        <v>44408</v>
      </c>
      <c r="AE395" s="53" t="s">
        <v>51</v>
      </c>
      <c r="AF395" s="54" t="s">
        <v>35</v>
      </c>
      <c r="AG395" s="54"/>
      <c r="AH395" s="39" t="s">
        <v>52</v>
      </c>
      <c r="AI395" s="39" t="s">
        <v>52</v>
      </c>
    </row>
    <row r="396" spans="1:35" ht="17" x14ac:dyDescent="0.2">
      <c r="A396">
        <v>360</v>
      </c>
      <c r="B396">
        <v>227</v>
      </c>
      <c r="C396" t="s">
        <v>4900</v>
      </c>
      <c r="D396" s="39" t="s">
        <v>1531</v>
      </c>
      <c r="E396" s="39" t="s">
        <v>348</v>
      </c>
      <c r="F396" s="39" t="s">
        <v>35</v>
      </c>
      <c r="G396" s="39" t="s">
        <v>160</v>
      </c>
      <c r="I396" s="39" t="s">
        <v>1532</v>
      </c>
      <c r="J396" s="39" t="s">
        <v>35</v>
      </c>
      <c r="K396" t="s">
        <v>1533</v>
      </c>
      <c r="L396" t="s">
        <v>748</v>
      </c>
      <c r="M396" s="6" t="s">
        <v>3688</v>
      </c>
      <c r="N396" t="s">
        <v>131</v>
      </c>
      <c r="O396" t="s">
        <v>1534</v>
      </c>
      <c r="P396" s="35" t="s">
        <v>640</v>
      </c>
      <c r="Q396" t="s">
        <v>200</v>
      </c>
      <c r="R396" t="s">
        <v>1535</v>
      </c>
      <c r="S396" s="6" t="s">
        <v>6229</v>
      </c>
      <c r="T396" s="43" t="s">
        <v>66</v>
      </c>
      <c r="U396" s="43" t="s">
        <v>817</v>
      </c>
      <c r="V396" t="s">
        <v>1536</v>
      </c>
      <c r="W396" s="57"/>
      <c r="X396" s="57"/>
      <c r="Y396" t="s">
        <v>43</v>
      </c>
      <c r="Z396" s="39"/>
      <c r="AA396" s="39"/>
      <c r="AB396" t="s">
        <v>100</v>
      </c>
      <c r="AC396" s="42">
        <v>41183</v>
      </c>
      <c r="AD396" s="42">
        <v>42156</v>
      </c>
      <c r="AE396" s="53" t="s">
        <v>239</v>
      </c>
      <c r="AF396" s="54" t="s">
        <v>35</v>
      </c>
      <c r="AG396" s="54"/>
      <c r="AH396" s="39" t="s">
        <v>70</v>
      </c>
      <c r="AI396" s="39" t="s">
        <v>52</v>
      </c>
    </row>
    <row r="397" spans="1:35" ht="17" x14ac:dyDescent="0.2">
      <c r="A397">
        <v>100</v>
      </c>
      <c r="B397">
        <v>246</v>
      </c>
      <c r="C397" t="s">
        <v>4904</v>
      </c>
      <c r="D397" s="39" t="s">
        <v>1634</v>
      </c>
      <c r="E397" s="39" t="s">
        <v>348</v>
      </c>
      <c r="F397" s="39" t="s">
        <v>35</v>
      </c>
      <c r="G397" s="39" t="s">
        <v>194</v>
      </c>
      <c r="H397" s="34"/>
      <c r="I397" s="39" t="s">
        <v>35</v>
      </c>
      <c r="J397" s="39" t="s">
        <v>35</v>
      </c>
      <c r="K397" t="s">
        <v>1635</v>
      </c>
      <c r="L397" t="s">
        <v>1636</v>
      </c>
      <c r="M397" s="6" t="s">
        <v>6027</v>
      </c>
      <c r="N397" t="s">
        <v>97</v>
      </c>
      <c r="O397" t="s">
        <v>60</v>
      </c>
      <c r="P397" s="35" t="s">
        <v>61</v>
      </c>
      <c r="Q397" t="s">
        <v>35</v>
      </c>
      <c r="R397" t="s">
        <v>1637</v>
      </c>
      <c r="S397" s="6" t="s">
        <v>6230</v>
      </c>
      <c r="T397" s="43" t="s">
        <v>878</v>
      </c>
      <c r="U397" s="43" t="s">
        <v>494</v>
      </c>
      <c r="V397" t="s">
        <v>60</v>
      </c>
      <c r="W397" s="57"/>
      <c r="X397" s="57"/>
      <c r="Y397" t="s">
        <v>61</v>
      </c>
      <c r="Z397" s="39"/>
      <c r="AA397" s="39"/>
      <c r="AB397" t="s">
        <v>115</v>
      </c>
      <c r="AC397" s="42">
        <v>34789</v>
      </c>
      <c r="AD397" s="42">
        <v>35323</v>
      </c>
      <c r="AE397" s="53" t="s">
        <v>116</v>
      </c>
      <c r="AF397" s="54" t="s">
        <v>35</v>
      </c>
      <c r="AG397" s="54"/>
      <c r="AH397" s="39" t="s">
        <v>52</v>
      </c>
      <c r="AI397" s="39" t="s">
        <v>52</v>
      </c>
    </row>
    <row r="398" spans="1:35" ht="34" x14ac:dyDescent="0.2">
      <c r="A398">
        <v>509</v>
      </c>
      <c r="B398">
        <v>267</v>
      </c>
      <c r="C398" t="s">
        <v>4908</v>
      </c>
      <c r="D398" s="39" t="s">
        <v>1733</v>
      </c>
      <c r="E398" s="39" t="s">
        <v>348</v>
      </c>
      <c r="F398" s="39" t="s">
        <v>35</v>
      </c>
      <c r="G398" s="39" t="s">
        <v>36</v>
      </c>
      <c r="I398" s="39" t="s">
        <v>1735</v>
      </c>
      <c r="J398" s="39" t="s">
        <v>35</v>
      </c>
      <c r="K398" t="s">
        <v>1736</v>
      </c>
      <c r="L398" t="s">
        <v>1737</v>
      </c>
      <c r="M398" s="6" t="s">
        <v>4884</v>
      </c>
      <c r="N398" t="s">
        <v>97</v>
      </c>
      <c r="O398" t="s">
        <v>42</v>
      </c>
      <c r="P398" s="35" t="s">
        <v>43</v>
      </c>
      <c r="Q398" t="s">
        <v>44</v>
      </c>
      <c r="R398" t="s">
        <v>236</v>
      </c>
      <c r="S398" s="6" t="s">
        <v>4361</v>
      </c>
      <c r="T398" s="43" t="s">
        <v>246</v>
      </c>
      <c r="U398" s="43" t="s">
        <v>954</v>
      </c>
      <c r="V398" t="s">
        <v>42</v>
      </c>
      <c r="W398" s="57"/>
      <c r="X398" s="57"/>
      <c r="Y398" t="s">
        <v>43</v>
      </c>
      <c r="Z398" s="39"/>
      <c r="AA398" s="39"/>
      <c r="AB398" t="s">
        <v>44</v>
      </c>
      <c r="AC398" s="42">
        <v>43466</v>
      </c>
      <c r="AD398" s="42">
        <v>44197</v>
      </c>
      <c r="AE398" s="53" t="s">
        <v>51</v>
      </c>
      <c r="AF398" s="54" t="s">
        <v>35</v>
      </c>
      <c r="AG398" s="54"/>
      <c r="AH398" s="39" t="s">
        <v>52</v>
      </c>
      <c r="AI398" s="39" t="s">
        <v>52</v>
      </c>
    </row>
    <row r="399" spans="1:35" ht="34" x14ac:dyDescent="0.2">
      <c r="A399">
        <v>238</v>
      </c>
      <c r="B399">
        <v>373</v>
      </c>
      <c r="C399" t="s">
        <v>4915</v>
      </c>
      <c r="D399" s="39" t="s">
        <v>2268</v>
      </c>
      <c r="E399" s="39" t="s">
        <v>348</v>
      </c>
      <c r="F399" s="39" t="s">
        <v>35</v>
      </c>
      <c r="G399" s="39" t="s">
        <v>82</v>
      </c>
      <c r="I399" s="39" t="s">
        <v>2269</v>
      </c>
      <c r="J399" s="39" t="s">
        <v>35</v>
      </c>
      <c r="K399" t="s">
        <v>2270</v>
      </c>
      <c r="L399" t="s">
        <v>2271</v>
      </c>
      <c r="M399" s="6" t="s">
        <v>6028</v>
      </c>
      <c r="N399" t="s">
        <v>86</v>
      </c>
      <c r="O399" t="s">
        <v>42</v>
      </c>
      <c r="P399" s="35" t="s">
        <v>43</v>
      </c>
      <c r="Q399" t="s">
        <v>115</v>
      </c>
      <c r="R399" t="s">
        <v>2272</v>
      </c>
      <c r="S399" s="6" t="s">
        <v>4889</v>
      </c>
      <c r="T399" s="43" t="s">
        <v>935</v>
      </c>
      <c r="U399" s="43" t="s">
        <v>246</v>
      </c>
      <c r="V399" t="s">
        <v>42</v>
      </c>
      <c r="W399" s="57"/>
      <c r="X399" s="57"/>
      <c r="Y399" t="s">
        <v>43</v>
      </c>
      <c r="Z399" s="39"/>
      <c r="AA399" s="39"/>
      <c r="AB399" t="s">
        <v>1627</v>
      </c>
      <c r="AC399" s="42">
        <v>37797</v>
      </c>
      <c r="AD399" s="42">
        <v>38495</v>
      </c>
      <c r="AE399" s="53" t="s">
        <v>239</v>
      </c>
      <c r="AF399" s="54" t="s">
        <v>35</v>
      </c>
      <c r="AG399" s="54"/>
      <c r="AH399" s="39" t="s">
        <v>70</v>
      </c>
      <c r="AI399" s="39" t="s">
        <v>52</v>
      </c>
    </row>
    <row r="400" spans="1:35" ht="17" x14ac:dyDescent="0.2">
      <c r="A400">
        <v>495</v>
      </c>
      <c r="B400">
        <v>383</v>
      </c>
      <c r="C400" t="s">
        <v>4922</v>
      </c>
      <c r="D400" s="39" t="s">
        <v>2318</v>
      </c>
      <c r="E400" s="39" t="s">
        <v>348</v>
      </c>
      <c r="F400" s="39" t="s">
        <v>35</v>
      </c>
      <c r="G400" s="39" t="s">
        <v>36</v>
      </c>
      <c r="I400" s="39" t="s">
        <v>2319</v>
      </c>
      <c r="J400" s="39" t="s">
        <v>2320</v>
      </c>
      <c r="K400" t="s">
        <v>2321</v>
      </c>
      <c r="L400" t="s">
        <v>2322</v>
      </c>
      <c r="M400" s="6" t="s">
        <v>6029</v>
      </c>
      <c r="N400" t="s">
        <v>97</v>
      </c>
      <c r="O400" t="s">
        <v>49</v>
      </c>
      <c r="P400" s="35" t="s">
        <v>50</v>
      </c>
      <c r="Q400" t="s">
        <v>62</v>
      </c>
      <c r="R400" t="s">
        <v>631</v>
      </c>
      <c r="S400" s="6" t="s">
        <v>4893</v>
      </c>
      <c r="T400" s="43" t="s">
        <v>459</v>
      </c>
      <c r="U400" s="43" t="s">
        <v>2323</v>
      </c>
      <c r="V400" t="s">
        <v>49</v>
      </c>
      <c r="W400" s="57"/>
      <c r="X400" s="57"/>
      <c r="Y400" t="s">
        <v>50</v>
      </c>
      <c r="Z400" s="39"/>
      <c r="AA400" s="39"/>
      <c r="AB400" t="s">
        <v>62</v>
      </c>
      <c r="AC400" s="42">
        <v>43626</v>
      </c>
      <c r="AD400" s="42">
        <v>44692</v>
      </c>
      <c r="AE400" s="53" t="s">
        <v>2324</v>
      </c>
      <c r="AF400" s="54" t="s">
        <v>35</v>
      </c>
      <c r="AG400" s="54"/>
      <c r="AH400" s="39" t="s">
        <v>70</v>
      </c>
      <c r="AI400" s="39" t="s">
        <v>52</v>
      </c>
    </row>
    <row r="401" spans="1:35" ht="15.5" customHeight="1" x14ac:dyDescent="0.2">
      <c r="A401">
        <v>13</v>
      </c>
      <c r="B401">
        <v>439</v>
      </c>
      <c r="C401" t="s">
        <v>4925</v>
      </c>
      <c r="D401" s="39" t="s">
        <v>2585</v>
      </c>
      <c r="E401" s="39" t="s">
        <v>348</v>
      </c>
      <c r="F401" s="39" t="s">
        <v>35</v>
      </c>
      <c r="G401" s="39" t="s">
        <v>139</v>
      </c>
      <c r="I401" s="39" t="s">
        <v>2586</v>
      </c>
      <c r="J401" s="39" t="s">
        <v>35</v>
      </c>
      <c r="K401" t="s">
        <v>2587</v>
      </c>
      <c r="L401" t="s">
        <v>2588</v>
      </c>
      <c r="M401" s="6" t="s">
        <v>3704</v>
      </c>
      <c r="N401" t="s">
        <v>86</v>
      </c>
      <c r="O401" t="s">
        <v>621</v>
      </c>
      <c r="P401" s="35"/>
      <c r="Q401" t="s">
        <v>180</v>
      </c>
      <c r="R401" t="s">
        <v>2589</v>
      </c>
      <c r="S401" s="6" t="s">
        <v>4159</v>
      </c>
      <c r="T401" s="43" t="s">
        <v>155</v>
      </c>
      <c r="U401" s="43" t="s">
        <v>324</v>
      </c>
      <c r="V401" t="s">
        <v>49</v>
      </c>
      <c r="W401" s="57"/>
      <c r="X401" s="57"/>
      <c r="Y401" t="s">
        <v>50</v>
      </c>
      <c r="Z401" s="39"/>
      <c r="AA401" s="39"/>
      <c r="AB401" t="s">
        <v>180</v>
      </c>
      <c r="AC401" s="42">
        <v>33000</v>
      </c>
      <c r="AD401" s="42">
        <v>34233</v>
      </c>
      <c r="AE401" s="53" t="s">
        <v>116</v>
      </c>
      <c r="AF401" s="54" t="s">
        <v>35</v>
      </c>
      <c r="AG401" s="54"/>
      <c r="AH401" s="39" t="s">
        <v>52</v>
      </c>
      <c r="AI401" s="39" t="s">
        <v>52</v>
      </c>
    </row>
    <row r="402" spans="1:35" ht="15.5" customHeight="1" x14ac:dyDescent="0.2">
      <c r="A402">
        <v>137</v>
      </c>
      <c r="B402">
        <v>507</v>
      </c>
      <c r="C402" t="s">
        <v>4929</v>
      </c>
      <c r="D402" s="39" t="s">
        <v>2891</v>
      </c>
      <c r="E402" s="39" t="s">
        <v>348</v>
      </c>
      <c r="F402" s="39" t="s">
        <v>35</v>
      </c>
      <c r="G402" s="39" t="s">
        <v>205</v>
      </c>
      <c r="I402" s="39" t="s">
        <v>2892</v>
      </c>
      <c r="J402" s="39" t="s">
        <v>35</v>
      </c>
      <c r="K402" t="s">
        <v>2893</v>
      </c>
      <c r="L402" t="s">
        <v>2894</v>
      </c>
      <c r="M402" s="6" t="s">
        <v>6030</v>
      </c>
      <c r="N402" t="s">
        <v>86</v>
      </c>
      <c r="O402" t="s">
        <v>2895</v>
      </c>
      <c r="P402" s="35" t="s">
        <v>2896</v>
      </c>
      <c r="Q402" t="s">
        <v>132</v>
      </c>
      <c r="R402" t="s">
        <v>2897</v>
      </c>
      <c r="S402" s="6" t="s">
        <v>4903</v>
      </c>
      <c r="T402" s="43" t="s">
        <v>1396</v>
      </c>
      <c r="U402" s="43" t="s">
        <v>2215</v>
      </c>
      <c r="V402" t="s">
        <v>2895</v>
      </c>
      <c r="W402" s="57"/>
      <c r="X402" s="57"/>
      <c r="Y402" t="s">
        <v>2896</v>
      </c>
      <c r="Z402" s="39"/>
      <c r="AA402" s="39"/>
      <c r="AB402" t="s">
        <v>115</v>
      </c>
      <c r="AC402" s="42">
        <v>36280</v>
      </c>
      <c r="AD402" s="42">
        <v>36584</v>
      </c>
      <c r="AE402" s="53" t="s">
        <v>51</v>
      </c>
      <c r="AF402" s="54" t="s">
        <v>35</v>
      </c>
      <c r="AG402" s="54"/>
      <c r="AH402" s="39" t="s">
        <v>52</v>
      </c>
      <c r="AI402" s="39" t="s">
        <v>52</v>
      </c>
    </row>
    <row r="403" spans="1:35" ht="17" x14ac:dyDescent="0.2">
      <c r="A403">
        <v>85</v>
      </c>
      <c r="B403">
        <v>549</v>
      </c>
      <c r="C403" t="s">
        <v>4935</v>
      </c>
      <c r="D403" s="39" t="s">
        <v>3102</v>
      </c>
      <c r="E403" s="39" t="s">
        <v>348</v>
      </c>
      <c r="F403" s="39" t="s">
        <v>35</v>
      </c>
      <c r="G403" s="39" t="s">
        <v>194</v>
      </c>
      <c r="H403" s="34"/>
      <c r="I403" s="39" t="s">
        <v>3103</v>
      </c>
      <c r="J403" s="39" t="s">
        <v>35</v>
      </c>
      <c r="K403" t="s">
        <v>3104</v>
      </c>
      <c r="L403" t="s">
        <v>3105</v>
      </c>
      <c r="M403" s="6" t="s">
        <v>51</v>
      </c>
      <c r="N403" t="s">
        <v>86</v>
      </c>
      <c r="P403" s="35"/>
      <c r="Q403" t="s">
        <v>44</v>
      </c>
      <c r="R403" t="s">
        <v>3106</v>
      </c>
      <c r="S403" s="6" t="s">
        <v>3733</v>
      </c>
      <c r="T403" s="43" t="s">
        <v>3107</v>
      </c>
      <c r="U403" s="43" t="s">
        <v>1961</v>
      </c>
      <c r="W403" s="57"/>
      <c r="X403" s="57"/>
      <c r="Z403" s="39"/>
      <c r="AA403" s="39"/>
      <c r="AB403" t="s">
        <v>62</v>
      </c>
      <c r="AC403" s="42">
        <v>34074</v>
      </c>
      <c r="AD403" s="42">
        <v>34236</v>
      </c>
      <c r="AE403" s="53" t="s">
        <v>51</v>
      </c>
      <c r="AF403" s="54" t="s">
        <v>35</v>
      </c>
      <c r="AG403" s="54"/>
      <c r="AH403" s="39" t="s">
        <v>52</v>
      </c>
      <c r="AI403" s="39" t="s">
        <v>52</v>
      </c>
    </row>
    <row r="404" spans="1:35" ht="17" x14ac:dyDescent="0.2">
      <c r="A404">
        <v>119</v>
      </c>
      <c r="B404">
        <v>572</v>
      </c>
      <c r="C404" t="s">
        <v>4942</v>
      </c>
      <c r="D404" s="39" t="s">
        <v>3214</v>
      </c>
      <c r="E404" s="39" t="s">
        <v>348</v>
      </c>
      <c r="F404" s="39" t="s">
        <v>35</v>
      </c>
      <c r="G404" s="39" t="s">
        <v>205</v>
      </c>
      <c r="I404" s="39" t="s">
        <v>3215</v>
      </c>
      <c r="J404" s="39" t="s">
        <v>3216</v>
      </c>
      <c r="K404" t="s">
        <v>3217</v>
      </c>
      <c r="L404" t="s">
        <v>3218</v>
      </c>
      <c r="M404" s="6" t="s">
        <v>4495</v>
      </c>
      <c r="N404" t="s">
        <v>86</v>
      </c>
      <c r="O404" t="s">
        <v>42</v>
      </c>
      <c r="P404" s="35" t="s">
        <v>43</v>
      </c>
      <c r="Q404" t="s">
        <v>35</v>
      </c>
      <c r="R404" t="s">
        <v>3219</v>
      </c>
      <c r="S404" s="6" t="s">
        <v>3476</v>
      </c>
      <c r="T404" s="43" t="s">
        <v>308</v>
      </c>
      <c r="U404" s="43" t="s">
        <v>400</v>
      </c>
      <c r="V404" t="s">
        <v>42</v>
      </c>
      <c r="W404" s="57"/>
      <c r="X404" s="57"/>
      <c r="Y404" t="s">
        <v>43</v>
      </c>
      <c r="Z404" s="39"/>
      <c r="AA404" s="39"/>
      <c r="AB404" t="s">
        <v>115</v>
      </c>
      <c r="AC404" s="42">
        <v>35488</v>
      </c>
      <c r="AD404" s="42">
        <v>37313</v>
      </c>
      <c r="AE404" s="53" t="s">
        <v>68</v>
      </c>
      <c r="AF404" s="54" t="s">
        <v>35</v>
      </c>
      <c r="AG404" s="54"/>
      <c r="AH404" s="39" t="s">
        <v>70</v>
      </c>
      <c r="AI404" s="39" t="s">
        <v>52</v>
      </c>
    </row>
    <row r="405" spans="1:35" ht="17" x14ac:dyDescent="0.2">
      <c r="A405">
        <v>340</v>
      </c>
      <c r="B405">
        <v>573</v>
      </c>
      <c r="C405" t="s">
        <v>4947</v>
      </c>
      <c r="D405" s="39" t="s">
        <v>3220</v>
      </c>
      <c r="E405" s="39" t="s">
        <v>348</v>
      </c>
      <c r="F405" s="39" t="s">
        <v>35</v>
      </c>
      <c r="G405" s="39" t="s">
        <v>160</v>
      </c>
      <c r="H405" s="34"/>
      <c r="I405" s="39" t="s">
        <v>3221</v>
      </c>
      <c r="J405" s="39" t="s">
        <v>35</v>
      </c>
      <c r="K405" t="s">
        <v>3222</v>
      </c>
      <c r="L405" t="s">
        <v>3223</v>
      </c>
      <c r="M405" s="6" t="s">
        <v>6031</v>
      </c>
      <c r="N405" s="36" t="s">
        <v>86</v>
      </c>
      <c r="O405" t="s">
        <v>3224</v>
      </c>
      <c r="P405" s="35" t="s">
        <v>3225</v>
      </c>
      <c r="Q405" t="s">
        <v>35</v>
      </c>
      <c r="R405" t="s">
        <v>3226</v>
      </c>
      <c r="S405" s="6" t="s">
        <v>4914</v>
      </c>
      <c r="T405" s="43" t="s">
        <v>474</v>
      </c>
      <c r="U405" s="43" t="s">
        <v>324</v>
      </c>
      <c r="V405" t="s">
        <v>3227</v>
      </c>
      <c r="W405" s="57"/>
      <c r="X405" s="57"/>
      <c r="Y405" t="s">
        <v>3225</v>
      </c>
      <c r="Z405" s="39"/>
      <c r="AA405" s="39"/>
      <c r="AB405" t="s">
        <v>44</v>
      </c>
      <c r="AC405" s="42">
        <v>40568</v>
      </c>
      <c r="AD405" s="42">
        <v>41157</v>
      </c>
      <c r="AE405" s="53" t="s">
        <v>239</v>
      </c>
      <c r="AF405" s="54" t="s">
        <v>35</v>
      </c>
      <c r="AG405" s="54"/>
      <c r="AH405" s="39" t="s">
        <v>70</v>
      </c>
      <c r="AI405" s="39" t="s">
        <v>52</v>
      </c>
    </row>
    <row r="406" spans="1:35" ht="17" x14ac:dyDescent="0.2">
      <c r="A406">
        <v>121</v>
      </c>
      <c r="B406">
        <v>603</v>
      </c>
      <c r="C406" t="s">
        <v>4952</v>
      </c>
      <c r="D406" s="39" t="s">
        <v>3359</v>
      </c>
      <c r="E406" s="39" t="s">
        <v>348</v>
      </c>
      <c r="F406" s="39" t="s">
        <v>35</v>
      </c>
      <c r="G406" s="39" t="s">
        <v>205</v>
      </c>
      <c r="I406" s="39" t="s">
        <v>3360</v>
      </c>
      <c r="J406" s="39" t="s">
        <v>3361</v>
      </c>
      <c r="K406" t="s">
        <v>3362</v>
      </c>
      <c r="L406" t="s">
        <v>3363</v>
      </c>
      <c r="M406" s="6" t="s">
        <v>4402</v>
      </c>
      <c r="N406" t="s">
        <v>86</v>
      </c>
      <c r="O406" t="s">
        <v>3364</v>
      </c>
      <c r="P406" s="35" t="s">
        <v>50</v>
      </c>
      <c r="Q406" t="s">
        <v>44</v>
      </c>
      <c r="R406" t="s">
        <v>3365</v>
      </c>
      <c r="S406" s="6" t="s">
        <v>4917</v>
      </c>
      <c r="T406" s="43" t="s">
        <v>2442</v>
      </c>
      <c r="U406" s="43" t="s">
        <v>1906</v>
      </c>
      <c r="V406" t="s">
        <v>3366</v>
      </c>
      <c r="W406" s="57"/>
      <c r="X406" s="57"/>
      <c r="Y406" t="s">
        <v>50</v>
      </c>
      <c r="Z406" s="39"/>
      <c r="AA406" s="39"/>
      <c r="AB406" t="s">
        <v>479</v>
      </c>
      <c r="AC406" s="42">
        <v>35488</v>
      </c>
      <c r="AD406" s="42">
        <v>36933</v>
      </c>
      <c r="AE406" s="53" t="s">
        <v>157</v>
      </c>
      <c r="AF406" s="54" t="s">
        <v>35</v>
      </c>
      <c r="AG406" s="54"/>
      <c r="AH406" s="39" t="s">
        <v>70</v>
      </c>
      <c r="AI406" s="39" t="s">
        <v>52</v>
      </c>
    </row>
    <row r="407" spans="1:35" ht="17" x14ac:dyDescent="0.2">
      <c r="A407" t="s">
        <v>35</v>
      </c>
      <c r="B407">
        <v>114</v>
      </c>
      <c r="C407" t="s">
        <v>5777</v>
      </c>
      <c r="D407" s="39" t="s">
        <v>866</v>
      </c>
      <c r="E407" s="39" t="s">
        <v>349</v>
      </c>
      <c r="F407" s="39" t="s">
        <v>359</v>
      </c>
      <c r="G407" s="39" t="s">
        <v>55</v>
      </c>
      <c r="I407" s="39" t="s">
        <v>874</v>
      </c>
      <c r="J407" s="39" t="s">
        <v>35</v>
      </c>
      <c r="K407" t="s">
        <v>875</v>
      </c>
      <c r="L407" s="49" t="s">
        <v>876</v>
      </c>
      <c r="M407" s="6" t="s">
        <v>3704</v>
      </c>
      <c r="N407" t="s">
        <v>59</v>
      </c>
      <c r="P407" s="35"/>
      <c r="Q407" t="s">
        <v>76</v>
      </c>
      <c r="R407" t="s">
        <v>877</v>
      </c>
      <c r="S407" s="6" t="s">
        <v>3501</v>
      </c>
      <c r="T407" s="43" t="s">
        <v>417</v>
      </c>
      <c r="U407" s="43" t="s">
        <v>878</v>
      </c>
      <c r="V407" t="s">
        <v>879</v>
      </c>
      <c r="W407" s="57"/>
      <c r="X407" s="57"/>
      <c r="Y407" t="s">
        <v>356</v>
      </c>
      <c r="Z407" s="39"/>
      <c r="AA407" s="39"/>
      <c r="AB407" t="s">
        <v>76</v>
      </c>
      <c r="AC407" s="42" t="s">
        <v>880</v>
      </c>
      <c r="AE407" s="53" t="s">
        <v>453</v>
      </c>
      <c r="AF407" s="54" t="s">
        <v>35</v>
      </c>
      <c r="AG407" s="54"/>
      <c r="AH407" s="39" t="s">
        <v>70</v>
      </c>
      <c r="AI407" s="39" t="s">
        <v>52</v>
      </c>
    </row>
    <row r="408" spans="1:35" ht="17" x14ac:dyDescent="0.2">
      <c r="A408" t="s">
        <v>35</v>
      </c>
      <c r="B408">
        <v>262</v>
      </c>
      <c r="C408" t="s">
        <v>5794</v>
      </c>
      <c r="D408" s="39" t="s">
        <v>1711</v>
      </c>
      <c r="E408" s="39" t="s">
        <v>349</v>
      </c>
      <c r="F408" s="39" t="s">
        <v>1715</v>
      </c>
      <c r="G408" s="39" t="s">
        <v>82</v>
      </c>
      <c r="I408" s="39" t="s">
        <v>1716</v>
      </c>
      <c r="J408" s="39" t="s">
        <v>35</v>
      </c>
      <c r="K408" t="s">
        <v>1717</v>
      </c>
      <c r="L408" t="s">
        <v>1718</v>
      </c>
      <c r="M408" s="6" t="s">
        <v>6032</v>
      </c>
      <c r="N408" t="s">
        <v>41</v>
      </c>
      <c r="O408" t="s">
        <v>49</v>
      </c>
      <c r="P408" s="35" t="s">
        <v>50</v>
      </c>
      <c r="Q408" t="s">
        <v>35</v>
      </c>
      <c r="R408" t="s">
        <v>1719</v>
      </c>
      <c r="S408" s="6" t="s">
        <v>4927</v>
      </c>
      <c r="T408" s="43" t="s">
        <v>299</v>
      </c>
      <c r="U408" s="43" t="s">
        <v>1720</v>
      </c>
      <c r="W408" s="57"/>
      <c r="X408" s="57"/>
      <c r="Z408" s="39"/>
      <c r="AA408" s="39"/>
      <c r="AB408" t="s">
        <v>35</v>
      </c>
      <c r="AC408" s="42">
        <v>38473</v>
      </c>
      <c r="AD408" s="42">
        <v>39142</v>
      </c>
      <c r="AE408" s="53" t="s">
        <v>51</v>
      </c>
      <c r="AF408" s="54" t="s">
        <v>35</v>
      </c>
      <c r="AG408" s="54"/>
      <c r="AH408" s="39" t="s">
        <v>52</v>
      </c>
      <c r="AI408" s="39" t="s">
        <v>52</v>
      </c>
    </row>
    <row r="409" spans="1:35" ht="17" x14ac:dyDescent="0.2">
      <c r="A409" t="s">
        <v>35</v>
      </c>
      <c r="B409">
        <v>280</v>
      </c>
      <c r="C409" t="s">
        <v>5796</v>
      </c>
      <c r="D409" s="39" t="s">
        <v>1785</v>
      </c>
      <c r="E409" s="39" t="s">
        <v>349</v>
      </c>
      <c r="F409" s="39" t="s">
        <v>928</v>
      </c>
      <c r="G409" s="39" t="s">
        <v>36</v>
      </c>
      <c r="H409" s="34"/>
      <c r="I409" s="39" t="s">
        <v>1786</v>
      </c>
      <c r="J409" s="39" t="s">
        <v>35</v>
      </c>
      <c r="K409" t="s">
        <v>1787</v>
      </c>
      <c r="L409" t="s">
        <v>1788</v>
      </c>
      <c r="M409" s="6" t="s">
        <v>3655</v>
      </c>
      <c r="N409" t="s">
        <v>86</v>
      </c>
      <c r="O409" t="s">
        <v>1789</v>
      </c>
      <c r="P409" s="35" t="s">
        <v>1790</v>
      </c>
      <c r="Q409" t="s">
        <v>35</v>
      </c>
      <c r="R409" t="s">
        <v>163</v>
      </c>
      <c r="S409" s="6" t="s">
        <v>6231</v>
      </c>
      <c r="T409" s="43" t="s">
        <v>164</v>
      </c>
      <c r="U409" s="43" t="s">
        <v>1791</v>
      </c>
      <c r="V409" t="s">
        <v>123</v>
      </c>
      <c r="W409" s="57"/>
      <c r="X409" s="57"/>
      <c r="Y409" t="s">
        <v>99</v>
      </c>
      <c r="Z409" s="39"/>
      <c r="AA409" s="39"/>
      <c r="AB409" t="s">
        <v>62</v>
      </c>
      <c r="AC409" s="42">
        <v>42380</v>
      </c>
      <c r="AD409" s="42">
        <v>42520</v>
      </c>
      <c r="AE409" s="53" t="s">
        <v>403</v>
      </c>
      <c r="AF409" s="54" t="s">
        <v>730</v>
      </c>
      <c r="AG409" s="54"/>
      <c r="AH409" s="39" t="s">
        <v>52</v>
      </c>
      <c r="AI409" s="39" t="s">
        <v>70</v>
      </c>
    </row>
    <row r="410" spans="1:35" ht="17" x14ac:dyDescent="0.2">
      <c r="B410">
        <v>91</v>
      </c>
      <c r="C410" t="s">
        <v>3884</v>
      </c>
      <c r="D410" s="39" t="s">
        <v>720</v>
      </c>
      <c r="E410" s="39" t="s">
        <v>721</v>
      </c>
      <c r="F410" s="39" t="s">
        <v>35</v>
      </c>
      <c r="G410" s="39" t="s">
        <v>35</v>
      </c>
      <c r="I410" s="39" t="s">
        <v>722</v>
      </c>
      <c r="J410" s="39" t="s">
        <v>35</v>
      </c>
      <c r="L410" s="49" t="s">
        <v>723</v>
      </c>
      <c r="M410" s="6" t="s">
        <v>4280</v>
      </c>
      <c r="N410" t="s">
        <v>97</v>
      </c>
      <c r="P410" s="35"/>
      <c r="Q410" t="s">
        <v>200</v>
      </c>
      <c r="S410" s="6" t="s">
        <v>4939</v>
      </c>
      <c r="T410" s="43" t="s">
        <v>35</v>
      </c>
      <c r="U410" s="43" t="s">
        <v>35</v>
      </c>
      <c r="W410" s="57"/>
      <c r="X410" s="57"/>
      <c r="Z410" s="39"/>
      <c r="AA410" s="39"/>
      <c r="AB410" t="s">
        <v>35</v>
      </c>
      <c r="AC410" s="42">
        <v>41782</v>
      </c>
      <c r="AE410" s="53"/>
      <c r="AF410" s="54" t="s">
        <v>35</v>
      </c>
      <c r="AG410" s="54"/>
      <c r="AH410" s="39" t="s">
        <v>52</v>
      </c>
      <c r="AI410" s="39" t="s">
        <v>52</v>
      </c>
    </row>
    <row r="411" spans="1:35" ht="17" x14ac:dyDescent="0.2">
      <c r="A411" t="s">
        <v>35</v>
      </c>
      <c r="B411">
        <v>358</v>
      </c>
      <c r="C411" t="s">
        <v>5805</v>
      </c>
      <c r="D411" s="39" t="s">
        <v>2193</v>
      </c>
      <c r="E411" s="39" t="s">
        <v>349</v>
      </c>
      <c r="F411" s="39" t="s">
        <v>390</v>
      </c>
      <c r="G411" s="39" t="s">
        <v>55</v>
      </c>
      <c r="I411" s="39" t="s">
        <v>2194</v>
      </c>
      <c r="J411" s="39" t="s">
        <v>35</v>
      </c>
      <c r="K411" t="s">
        <v>2195</v>
      </c>
      <c r="L411" t="s">
        <v>2196</v>
      </c>
      <c r="M411" s="6" t="s">
        <v>5919</v>
      </c>
      <c r="N411" t="s">
        <v>59</v>
      </c>
      <c r="O411" t="s">
        <v>42</v>
      </c>
      <c r="P411" s="35" t="s">
        <v>43</v>
      </c>
      <c r="Q411" t="s">
        <v>44</v>
      </c>
      <c r="R411" t="s">
        <v>63</v>
      </c>
      <c r="S411" s="6" t="s">
        <v>4946</v>
      </c>
      <c r="T411" s="43" t="s">
        <v>2197</v>
      </c>
      <c r="U411" s="43" t="s">
        <v>896</v>
      </c>
      <c r="V411" t="s">
        <v>49</v>
      </c>
      <c r="W411" s="57"/>
      <c r="X411" s="57"/>
      <c r="Y411" t="s">
        <v>50</v>
      </c>
      <c r="Z411" s="39"/>
      <c r="AA411" s="39"/>
      <c r="AB411" t="s">
        <v>62</v>
      </c>
      <c r="AC411" s="42">
        <v>42371</v>
      </c>
      <c r="AD411" s="42">
        <v>44198</v>
      </c>
      <c r="AE411" s="53" t="s">
        <v>68</v>
      </c>
      <c r="AF411" s="54" t="s">
        <v>35</v>
      </c>
      <c r="AG411" s="54"/>
      <c r="AH411" s="39" t="s">
        <v>70</v>
      </c>
      <c r="AI411" s="39" t="s">
        <v>52</v>
      </c>
    </row>
    <row r="412" spans="1:35" ht="17" x14ac:dyDescent="0.2">
      <c r="A412" t="s">
        <v>35</v>
      </c>
      <c r="B412">
        <v>605</v>
      </c>
      <c r="C412" t="s">
        <v>5840</v>
      </c>
      <c r="D412" s="39" t="s">
        <v>3372</v>
      </c>
      <c r="E412" s="39" t="s">
        <v>349</v>
      </c>
      <c r="F412" s="39" t="s">
        <v>3373</v>
      </c>
      <c r="G412" s="39" t="s">
        <v>82</v>
      </c>
      <c r="I412" s="39" t="s">
        <v>3374</v>
      </c>
      <c r="J412" s="39" t="s">
        <v>3375</v>
      </c>
      <c r="K412" t="s">
        <v>3376</v>
      </c>
      <c r="L412" t="s">
        <v>3377</v>
      </c>
      <c r="M412" s="6" t="s">
        <v>6033</v>
      </c>
      <c r="N412" t="s">
        <v>86</v>
      </c>
      <c r="O412" t="s">
        <v>49</v>
      </c>
      <c r="P412" s="35" t="s">
        <v>50</v>
      </c>
      <c r="Q412" t="s">
        <v>44</v>
      </c>
      <c r="R412" t="s">
        <v>1435</v>
      </c>
      <c r="S412" s="6" t="s">
        <v>756</v>
      </c>
      <c r="T412" s="43" t="s">
        <v>992</v>
      </c>
      <c r="U412" s="43" t="s">
        <v>509</v>
      </c>
      <c r="V412" t="s">
        <v>739</v>
      </c>
      <c r="W412" s="57"/>
      <c r="X412" s="57"/>
      <c r="Y412" t="s">
        <v>742</v>
      </c>
      <c r="Z412" s="39"/>
      <c r="AA412" s="39"/>
      <c r="AB412" t="s">
        <v>132</v>
      </c>
      <c r="AC412" s="42">
        <v>37013</v>
      </c>
      <c r="AD412" s="42">
        <v>37649</v>
      </c>
      <c r="AE412" s="53" t="s">
        <v>51</v>
      </c>
      <c r="AF412" s="54" t="s">
        <v>35</v>
      </c>
      <c r="AG412" s="54"/>
      <c r="AH412" s="39" t="s">
        <v>52</v>
      </c>
      <c r="AI412" s="39" t="s">
        <v>52</v>
      </c>
    </row>
    <row r="413" spans="1:35" ht="17" x14ac:dyDescent="0.2">
      <c r="A413">
        <v>105</v>
      </c>
      <c r="B413">
        <v>355</v>
      </c>
      <c r="C413" t="s">
        <v>4980</v>
      </c>
      <c r="D413" s="39" t="s">
        <v>2177</v>
      </c>
      <c r="E413" s="39" t="s">
        <v>2178</v>
      </c>
      <c r="F413" s="39" t="s">
        <v>35</v>
      </c>
      <c r="G413" s="39" t="s">
        <v>194</v>
      </c>
      <c r="I413" s="39" t="s">
        <v>2179</v>
      </c>
      <c r="J413" s="39" t="s">
        <v>35</v>
      </c>
      <c r="K413" t="s">
        <v>2180</v>
      </c>
      <c r="L413" t="s">
        <v>2181</v>
      </c>
      <c r="M413" s="6" t="s">
        <v>5262</v>
      </c>
      <c r="N413" t="s">
        <v>59</v>
      </c>
      <c r="O413" t="s">
        <v>49</v>
      </c>
      <c r="P413" s="35" t="s">
        <v>50</v>
      </c>
      <c r="Q413" t="s">
        <v>811</v>
      </c>
      <c r="R413" t="s">
        <v>2182</v>
      </c>
      <c r="S413" s="6" t="s">
        <v>4958</v>
      </c>
      <c r="T413" s="43" t="s">
        <v>1236</v>
      </c>
      <c r="U413" s="43" t="s">
        <v>135</v>
      </c>
      <c r="V413" t="s">
        <v>49</v>
      </c>
      <c r="W413" s="57"/>
      <c r="X413" s="57"/>
      <c r="Y413" t="s">
        <v>50</v>
      </c>
      <c r="Z413" s="39"/>
      <c r="AA413" s="39"/>
      <c r="AB413" t="s">
        <v>87</v>
      </c>
      <c r="AC413" s="42">
        <v>35104</v>
      </c>
      <c r="AD413" s="42">
        <v>35323</v>
      </c>
      <c r="AE413" s="53" t="s">
        <v>116</v>
      </c>
      <c r="AF413" s="54" t="s">
        <v>35</v>
      </c>
      <c r="AG413" s="54"/>
      <c r="AH413" s="39" t="s">
        <v>70</v>
      </c>
      <c r="AI413" s="39" t="s">
        <v>52</v>
      </c>
    </row>
    <row r="414" spans="1:35" ht="51" x14ac:dyDescent="0.2">
      <c r="A414">
        <v>181</v>
      </c>
      <c r="B414">
        <v>95</v>
      </c>
      <c r="C414" t="s">
        <v>4983</v>
      </c>
      <c r="D414" s="39" t="s">
        <v>743</v>
      </c>
      <c r="E414" s="39" t="s">
        <v>744</v>
      </c>
      <c r="F414" s="39" t="s">
        <v>35</v>
      </c>
      <c r="G414" s="39" t="s">
        <v>82</v>
      </c>
      <c r="I414" s="39" t="s">
        <v>745</v>
      </c>
      <c r="J414" s="39" t="s">
        <v>35</v>
      </c>
      <c r="K414" t="s">
        <v>746</v>
      </c>
      <c r="L414" s="49" t="s">
        <v>747</v>
      </c>
      <c r="M414" s="6" t="s">
        <v>6034</v>
      </c>
      <c r="N414" t="s">
        <v>131</v>
      </c>
      <c r="O414" t="s">
        <v>401</v>
      </c>
      <c r="P414" s="35" t="s">
        <v>50</v>
      </c>
      <c r="Q414" t="s">
        <v>44</v>
      </c>
      <c r="R414" t="s">
        <v>748</v>
      </c>
      <c r="S414" s="6" t="s">
        <v>6232</v>
      </c>
      <c r="T414" s="43" t="s">
        <v>509</v>
      </c>
      <c r="U414" s="43" t="s">
        <v>681</v>
      </c>
      <c r="V414" t="s">
        <v>749</v>
      </c>
      <c r="W414" s="57"/>
      <c r="X414" s="57"/>
      <c r="Y414" t="s">
        <v>640</v>
      </c>
      <c r="Z414" s="39"/>
      <c r="AA414" s="39"/>
      <c r="AB414" t="s">
        <v>200</v>
      </c>
      <c r="AC414" s="42">
        <v>37013</v>
      </c>
      <c r="AD414" s="42">
        <v>37166</v>
      </c>
      <c r="AE414" s="53" t="s">
        <v>51</v>
      </c>
      <c r="AF414" s="54" t="s">
        <v>35</v>
      </c>
      <c r="AG414" s="54"/>
      <c r="AH414" s="39" t="s">
        <v>52</v>
      </c>
      <c r="AI414" s="39" t="s">
        <v>52</v>
      </c>
    </row>
    <row r="415" spans="1:35" ht="17" x14ac:dyDescent="0.2">
      <c r="B415">
        <v>556</v>
      </c>
      <c r="C415" t="s">
        <v>5832</v>
      </c>
      <c r="D415" s="39" t="s">
        <v>3143</v>
      </c>
      <c r="E415" s="39" t="s">
        <v>3144</v>
      </c>
      <c r="F415" s="39" t="s">
        <v>35</v>
      </c>
      <c r="G415" s="39" t="s">
        <v>259</v>
      </c>
      <c r="I415" s="39" t="s">
        <v>3145</v>
      </c>
      <c r="J415" s="39" t="s">
        <v>35</v>
      </c>
      <c r="K415" t="s">
        <v>3146</v>
      </c>
      <c r="L415" t="s">
        <v>521</v>
      </c>
      <c r="M415" s="6" t="s">
        <v>6035</v>
      </c>
      <c r="N415" t="s">
        <v>131</v>
      </c>
      <c r="O415" t="s">
        <v>3147</v>
      </c>
      <c r="P415" s="35" t="s">
        <v>3148</v>
      </c>
      <c r="Q415" t="s">
        <v>44</v>
      </c>
      <c r="R415" t="s">
        <v>2070</v>
      </c>
      <c r="S415" s="6" t="s">
        <v>4979</v>
      </c>
      <c r="T415" s="43" t="s">
        <v>213</v>
      </c>
      <c r="U415" s="43" t="s">
        <v>213</v>
      </c>
      <c r="V415" t="s">
        <v>3147</v>
      </c>
      <c r="W415" s="57"/>
      <c r="X415" s="57"/>
      <c r="Y415" t="s">
        <v>3148</v>
      </c>
      <c r="Z415" s="39"/>
      <c r="AA415" s="39"/>
      <c r="AB415" t="s">
        <v>44</v>
      </c>
      <c r="AC415" s="42">
        <v>44937</v>
      </c>
      <c r="AD415" s="42">
        <v>45659</v>
      </c>
      <c r="AE415" s="53" t="s">
        <v>51</v>
      </c>
      <c r="AF415" s="54" t="s">
        <v>35</v>
      </c>
      <c r="AG415" s="54"/>
      <c r="AH415" s="39" t="s">
        <v>52</v>
      </c>
      <c r="AI415" s="39" t="s">
        <v>52</v>
      </c>
    </row>
    <row r="416" spans="1:35" ht="17" x14ac:dyDescent="0.2">
      <c r="A416">
        <v>27</v>
      </c>
      <c r="B416">
        <v>239</v>
      </c>
      <c r="C416" t="s">
        <v>4987</v>
      </c>
      <c r="D416" s="39" t="s">
        <v>1595</v>
      </c>
      <c r="E416" s="39" t="s">
        <v>1596</v>
      </c>
      <c r="F416" s="39" t="s">
        <v>35</v>
      </c>
      <c r="G416" s="39" t="s">
        <v>194</v>
      </c>
      <c r="H416" s="34"/>
      <c r="I416" s="39" t="s">
        <v>1597</v>
      </c>
      <c r="J416" s="39" t="s">
        <v>35</v>
      </c>
      <c r="K416" t="s">
        <v>1598</v>
      </c>
      <c r="L416" t="s">
        <v>1599</v>
      </c>
      <c r="M416" s="6" t="s">
        <v>3555</v>
      </c>
      <c r="N416" t="s">
        <v>59</v>
      </c>
      <c r="P416" s="35"/>
      <c r="Q416" t="s">
        <v>44</v>
      </c>
      <c r="R416" t="s">
        <v>551</v>
      </c>
      <c r="S416" s="6" t="s">
        <v>35</v>
      </c>
      <c r="T416" s="43" t="s">
        <v>719</v>
      </c>
      <c r="U416" s="43" t="s">
        <v>474</v>
      </c>
      <c r="V416" t="s">
        <v>49</v>
      </c>
      <c r="W416" s="57"/>
      <c r="X416" s="57"/>
      <c r="Y416" t="s">
        <v>50</v>
      </c>
      <c r="Z416" s="39"/>
      <c r="AA416" s="39"/>
      <c r="AB416" t="s">
        <v>44</v>
      </c>
      <c r="AC416" s="42">
        <v>33240</v>
      </c>
      <c r="AD416" s="42">
        <v>34233</v>
      </c>
      <c r="AE416" s="53" t="s">
        <v>51</v>
      </c>
      <c r="AF416" s="54" t="s">
        <v>35</v>
      </c>
      <c r="AG416" s="54"/>
      <c r="AH416" s="39" t="s">
        <v>52</v>
      </c>
      <c r="AI416" s="39" t="s">
        <v>52</v>
      </c>
    </row>
    <row r="417" spans="1:35" ht="17" x14ac:dyDescent="0.2">
      <c r="A417">
        <v>452</v>
      </c>
      <c r="B417">
        <v>51</v>
      </c>
      <c r="C417" t="s">
        <v>4992</v>
      </c>
      <c r="D417" s="39" t="s">
        <v>460</v>
      </c>
      <c r="E417" s="39" t="s">
        <v>461</v>
      </c>
      <c r="F417" s="39" t="s">
        <v>35</v>
      </c>
      <c r="G417" s="39" t="s">
        <v>36</v>
      </c>
      <c r="I417" s="39" t="s">
        <v>462</v>
      </c>
      <c r="J417" s="39" t="s">
        <v>463</v>
      </c>
      <c r="K417" t="s">
        <v>464</v>
      </c>
      <c r="L417" t="s">
        <v>465</v>
      </c>
      <c r="M417" s="6" t="s">
        <v>35</v>
      </c>
      <c r="N417" t="s">
        <v>131</v>
      </c>
      <c r="O417" t="s">
        <v>49</v>
      </c>
      <c r="P417" s="35" t="s">
        <v>50</v>
      </c>
      <c r="Q417" t="s">
        <v>132</v>
      </c>
      <c r="R417" t="s">
        <v>466</v>
      </c>
      <c r="S417" s="6" t="s">
        <v>35</v>
      </c>
      <c r="T417" s="43" t="s">
        <v>238</v>
      </c>
      <c r="U417" s="43" t="s">
        <v>90</v>
      </c>
      <c r="V417" t="s">
        <v>49</v>
      </c>
      <c r="W417" s="57"/>
      <c r="X417" s="57"/>
      <c r="Y417" t="s">
        <v>50</v>
      </c>
      <c r="Z417" s="39"/>
      <c r="AA417" s="39"/>
      <c r="AB417" t="s">
        <v>132</v>
      </c>
      <c r="AC417" s="42">
        <v>43115</v>
      </c>
      <c r="AD417" s="42">
        <v>43830</v>
      </c>
      <c r="AE417" s="53" t="s">
        <v>453</v>
      </c>
      <c r="AF417" s="54" t="s">
        <v>35</v>
      </c>
      <c r="AG417" s="54"/>
      <c r="AH417" s="39" t="s">
        <v>70</v>
      </c>
      <c r="AI417" s="39" t="s">
        <v>52</v>
      </c>
    </row>
    <row r="418" spans="1:35" ht="17" x14ac:dyDescent="0.2">
      <c r="A418">
        <v>602</v>
      </c>
      <c r="B418">
        <v>170</v>
      </c>
      <c r="C418" t="s">
        <v>5783</v>
      </c>
      <c r="D418" s="39" t="s">
        <v>1208</v>
      </c>
      <c r="E418" s="39" t="s">
        <v>461</v>
      </c>
      <c r="F418" s="39" t="s">
        <v>35</v>
      </c>
      <c r="G418" s="39" t="s">
        <v>259</v>
      </c>
      <c r="I418" s="39" t="s">
        <v>1209</v>
      </c>
      <c r="J418" s="39" t="s">
        <v>35</v>
      </c>
      <c r="K418" t="s">
        <v>1210</v>
      </c>
      <c r="L418" s="49" t="s">
        <v>263</v>
      </c>
      <c r="M418" s="6" t="s">
        <v>6036</v>
      </c>
      <c r="N418" t="s">
        <v>131</v>
      </c>
      <c r="O418" t="s">
        <v>49</v>
      </c>
      <c r="P418" s="35" t="s">
        <v>50</v>
      </c>
      <c r="Q418" t="s">
        <v>44</v>
      </c>
      <c r="R418" t="s">
        <v>852</v>
      </c>
      <c r="S418" s="6" t="s">
        <v>4969</v>
      </c>
      <c r="T418" s="43" t="s">
        <v>35</v>
      </c>
      <c r="U418" s="43" t="s">
        <v>35</v>
      </c>
      <c r="W418" s="57"/>
      <c r="X418" s="57"/>
      <c r="Z418" s="39"/>
      <c r="AA418" s="39"/>
      <c r="AB418" t="s">
        <v>35</v>
      </c>
      <c r="AC418" s="42">
        <v>44571</v>
      </c>
      <c r="AD418" s="42">
        <v>45297</v>
      </c>
      <c r="AE418" s="53" t="s">
        <v>51</v>
      </c>
      <c r="AF418" s="54" t="s">
        <v>35</v>
      </c>
      <c r="AG418" s="54"/>
      <c r="AH418" s="39" t="s">
        <v>52</v>
      </c>
      <c r="AI418" s="39" t="s">
        <v>52</v>
      </c>
    </row>
    <row r="419" spans="1:35" ht="17" x14ac:dyDescent="0.2">
      <c r="A419">
        <v>585</v>
      </c>
      <c r="B419">
        <v>188</v>
      </c>
      <c r="C419" t="s">
        <v>5787</v>
      </c>
      <c r="D419" s="39" t="s">
        <v>1317</v>
      </c>
      <c r="E419" s="39" t="s">
        <v>461</v>
      </c>
      <c r="F419" s="39" t="s">
        <v>35</v>
      </c>
      <c r="G419" s="39" t="s">
        <v>259</v>
      </c>
      <c r="I419" s="39" t="s">
        <v>1318</v>
      </c>
      <c r="J419" s="39" t="s">
        <v>35</v>
      </c>
      <c r="K419" t="s">
        <v>1319</v>
      </c>
      <c r="L419" s="49" t="s">
        <v>1320</v>
      </c>
      <c r="M419" s="6" t="s">
        <v>6037</v>
      </c>
      <c r="N419" t="s">
        <v>131</v>
      </c>
      <c r="O419" t="s">
        <v>123</v>
      </c>
      <c r="P419" s="35" t="s">
        <v>99</v>
      </c>
      <c r="Q419" t="s">
        <v>44</v>
      </c>
      <c r="R419" t="s">
        <v>1321</v>
      </c>
      <c r="S419" s="6" t="s">
        <v>3461</v>
      </c>
      <c r="T419" s="43" t="s">
        <v>246</v>
      </c>
      <c r="U419" s="43" t="s">
        <v>246</v>
      </c>
      <c r="V419" t="s">
        <v>49</v>
      </c>
      <c r="W419" s="57"/>
      <c r="X419" s="57"/>
      <c r="Y419" t="s">
        <v>50</v>
      </c>
      <c r="Z419" s="39"/>
      <c r="AA419" s="39"/>
      <c r="AB419" t="s">
        <v>115</v>
      </c>
      <c r="AC419" s="42">
        <v>44567</v>
      </c>
      <c r="AD419" s="42">
        <v>45297</v>
      </c>
      <c r="AE419" s="53" t="s">
        <v>730</v>
      </c>
      <c r="AF419" s="54" t="s">
        <v>35</v>
      </c>
      <c r="AG419" s="54"/>
      <c r="AH419" s="39" t="s">
        <v>52</v>
      </c>
      <c r="AI419" s="39" t="s">
        <v>70</v>
      </c>
    </row>
    <row r="420" spans="1:35" ht="17" x14ac:dyDescent="0.2">
      <c r="A420">
        <v>95</v>
      </c>
      <c r="B420">
        <v>230</v>
      </c>
      <c r="C420" t="s">
        <v>4996</v>
      </c>
      <c r="D420" s="39" t="s">
        <v>1547</v>
      </c>
      <c r="E420" s="39" t="s">
        <v>461</v>
      </c>
      <c r="F420" s="39" t="s">
        <v>35</v>
      </c>
      <c r="G420" s="39" t="s">
        <v>194</v>
      </c>
      <c r="I420" s="39" t="s">
        <v>35</v>
      </c>
      <c r="J420" s="39" t="s">
        <v>35</v>
      </c>
      <c r="K420" t="s">
        <v>1548</v>
      </c>
      <c r="L420" t="s">
        <v>1549</v>
      </c>
      <c r="M420" s="6" t="s">
        <v>5568</v>
      </c>
      <c r="N420" t="s">
        <v>86</v>
      </c>
      <c r="O420" t="s">
        <v>49</v>
      </c>
      <c r="P420" s="35" t="s">
        <v>50</v>
      </c>
      <c r="Q420" t="s">
        <v>44</v>
      </c>
      <c r="R420" t="s">
        <v>1550</v>
      </c>
      <c r="S420" s="6" t="s">
        <v>4975</v>
      </c>
      <c r="T420" s="43" t="s">
        <v>1551</v>
      </c>
      <c r="U420" s="43" t="s">
        <v>482</v>
      </c>
      <c r="V420" t="s">
        <v>523</v>
      </c>
      <c r="W420" s="57"/>
      <c r="X420" s="57"/>
      <c r="Y420" t="s">
        <v>50</v>
      </c>
      <c r="Z420" s="39"/>
      <c r="AA420" s="39"/>
      <c r="AB420" t="s">
        <v>76</v>
      </c>
      <c r="AC420" s="42">
        <v>34431</v>
      </c>
      <c r="AD420" s="42">
        <v>35185</v>
      </c>
      <c r="AE420" s="53" t="s">
        <v>116</v>
      </c>
      <c r="AF420" s="54" t="s">
        <v>35</v>
      </c>
      <c r="AG420" s="54"/>
      <c r="AH420" s="39" t="s">
        <v>70</v>
      </c>
      <c r="AI420" s="39" t="s">
        <v>52</v>
      </c>
    </row>
    <row r="421" spans="1:35" ht="102" x14ac:dyDescent="0.2">
      <c r="A421">
        <v>38</v>
      </c>
      <c r="B421">
        <v>339</v>
      </c>
      <c r="C421" t="s">
        <v>4999</v>
      </c>
      <c r="D421" s="39" t="s">
        <v>2093</v>
      </c>
      <c r="E421" s="39" t="s">
        <v>461</v>
      </c>
      <c r="F421" s="39" t="s">
        <v>35</v>
      </c>
      <c r="G421" s="39" t="s">
        <v>194</v>
      </c>
      <c r="I421" s="39" t="s">
        <v>35</v>
      </c>
      <c r="J421" s="39" t="s">
        <v>35</v>
      </c>
      <c r="L421" t="s">
        <v>35</v>
      </c>
      <c r="M421" s="6" t="s">
        <v>6038</v>
      </c>
      <c r="P421" s="35"/>
      <c r="Q421" t="s">
        <v>35</v>
      </c>
      <c r="S421" s="6" t="s">
        <v>4982</v>
      </c>
      <c r="T421" s="43" t="s">
        <v>35</v>
      </c>
      <c r="U421" s="43" t="s">
        <v>35</v>
      </c>
      <c r="W421" s="57"/>
      <c r="X421" s="57"/>
      <c r="Z421" s="39"/>
      <c r="AA421" s="39"/>
      <c r="AB421" t="s">
        <v>35</v>
      </c>
      <c r="AC421" s="42">
        <v>33240</v>
      </c>
      <c r="AD421" s="42">
        <v>33602</v>
      </c>
      <c r="AE421" s="53" t="s">
        <v>51</v>
      </c>
      <c r="AF421" s="54" t="s">
        <v>35</v>
      </c>
      <c r="AG421" s="54"/>
      <c r="AH421" s="39" t="s">
        <v>52</v>
      </c>
      <c r="AI421" s="39" t="s">
        <v>52</v>
      </c>
    </row>
    <row r="422" spans="1:35" ht="17" x14ac:dyDescent="0.2">
      <c r="A422">
        <v>481</v>
      </c>
      <c r="B422">
        <v>456</v>
      </c>
      <c r="C422" t="s">
        <v>5000</v>
      </c>
      <c r="D422" s="39" t="s">
        <v>2651</v>
      </c>
      <c r="E422" s="39" t="s">
        <v>461</v>
      </c>
      <c r="F422" s="39" t="s">
        <v>35</v>
      </c>
      <c r="G422" s="39" t="s">
        <v>36</v>
      </c>
      <c r="H422" s="34"/>
      <c r="I422" s="39" t="s">
        <v>2652</v>
      </c>
      <c r="J422" s="39" t="s">
        <v>2653</v>
      </c>
      <c r="K422" t="s">
        <v>2654</v>
      </c>
      <c r="L422" t="s">
        <v>2655</v>
      </c>
      <c r="M422" s="6" t="s">
        <v>4984</v>
      </c>
      <c r="N422" s="37" t="s">
        <v>59</v>
      </c>
      <c r="O422" t="s">
        <v>506</v>
      </c>
      <c r="P422" s="35"/>
      <c r="Q422" t="s">
        <v>35</v>
      </c>
      <c r="R422" t="s">
        <v>2656</v>
      </c>
      <c r="S422" s="6" t="s">
        <v>4985</v>
      </c>
      <c r="T422" s="43" t="s">
        <v>494</v>
      </c>
      <c r="U422" s="43" t="s">
        <v>940</v>
      </c>
      <c r="V422" t="s">
        <v>1151</v>
      </c>
      <c r="W422" s="57"/>
      <c r="X422" s="57"/>
      <c r="Y422" t="s">
        <v>640</v>
      </c>
      <c r="Z422" s="39"/>
      <c r="AA422" s="39"/>
      <c r="AB422" t="s">
        <v>811</v>
      </c>
      <c r="AC422" s="42">
        <v>43480</v>
      </c>
      <c r="AD422" s="42">
        <v>43617</v>
      </c>
      <c r="AE422" s="53" t="s">
        <v>51</v>
      </c>
      <c r="AF422" s="54" t="s">
        <v>35</v>
      </c>
      <c r="AG422" s="54"/>
      <c r="AH422" s="39" t="s">
        <v>52</v>
      </c>
      <c r="AI422" s="39" t="s">
        <v>52</v>
      </c>
    </row>
    <row r="423" spans="1:35" ht="17" x14ac:dyDescent="0.2">
      <c r="A423">
        <v>338</v>
      </c>
      <c r="B423">
        <v>532</v>
      </c>
      <c r="C423" t="s">
        <v>5007</v>
      </c>
      <c r="D423" s="39" t="s">
        <v>3020</v>
      </c>
      <c r="E423" s="39" t="s">
        <v>3021</v>
      </c>
      <c r="F423" s="39" t="s">
        <v>35</v>
      </c>
      <c r="G423" s="39" t="s">
        <v>160</v>
      </c>
      <c r="I423" s="39" t="s">
        <v>3022</v>
      </c>
      <c r="J423" s="39" t="s">
        <v>35</v>
      </c>
      <c r="K423" t="s">
        <v>3023</v>
      </c>
      <c r="L423" t="s">
        <v>3024</v>
      </c>
      <c r="M423" s="6" t="s">
        <v>6039</v>
      </c>
      <c r="N423" t="s">
        <v>41</v>
      </c>
      <c r="O423" t="s">
        <v>3025</v>
      </c>
      <c r="P423" s="35" t="s">
        <v>640</v>
      </c>
      <c r="Q423" t="s">
        <v>35</v>
      </c>
      <c r="R423" t="s">
        <v>3026</v>
      </c>
      <c r="S423" s="6" t="s">
        <v>5338</v>
      </c>
      <c r="T423" s="43" t="s">
        <v>1244</v>
      </c>
      <c r="U423" s="43" t="s">
        <v>445</v>
      </c>
      <c r="V423" t="s">
        <v>3027</v>
      </c>
      <c r="W423" s="57"/>
      <c r="X423" s="57"/>
      <c r="Y423" t="s">
        <v>640</v>
      </c>
      <c r="Z423" s="39"/>
      <c r="AA423" s="39"/>
      <c r="AB423" t="s">
        <v>1627</v>
      </c>
      <c r="AC423" s="42">
        <v>40568</v>
      </c>
      <c r="AD423" s="42">
        <v>41072</v>
      </c>
      <c r="AE423" s="53" t="s">
        <v>68</v>
      </c>
      <c r="AF423" s="54" t="s">
        <v>35</v>
      </c>
      <c r="AG423" s="54"/>
      <c r="AH423" s="39" t="s">
        <v>70</v>
      </c>
      <c r="AI423" s="39" t="s">
        <v>52</v>
      </c>
    </row>
    <row r="424" spans="1:35" ht="17" x14ac:dyDescent="0.2">
      <c r="A424">
        <v>243</v>
      </c>
      <c r="B424">
        <v>252</v>
      </c>
      <c r="C424" t="s">
        <v>5014</v>
      </c>
      <c r="D424" s="39" t="s">
        <v>1665</v>
      </c>
      <c r="E424" s="39" t="s">
        <v>1666</v>
      </c>
      <c r="F424" s="39" t="s">
        <v>35</v>
      </c>
      <c r="G424" s="39" t="s">
        <v>82</v>
      </c>
      <c r="I424" s="39" t="s">
        <v>1667</v>
      </c>
      <c r="J424" s="39" t="s">
        <v>1668</v>
      </c>
      <c r="K424" t="s">
        <v>1669</v>
      </c>
      <c r="L424" t="s">
        <v>1670</v>
      </c>
      <c r="M424" s="6" t="s">
        <v>6040</v>
      </c>
      <c r="N424" t="s">
        <v>86</v>
      </c>
      <c r="O424" t="s">
        <v>123</v>
      </c>
      <c r="P424" s="35" t="s">
        <v>99</v>
      </c>
      <c r="Q424" t="s">
        <v>76</v>
      </c>
      <c r="R424" t="s">
        <v>1671</v>
      </c>
      <c r="S424" s="6" t="s">
        <v>6233</v>
      </c>
      <c r="T424" s="43" t="s">
        <v>409</v>
      </c>
      <c r="U424" s="43" t="s">
        <v>66</v>
      </c>
      <c r="V424" t="s">
        <v>123</v>
      </c>
      <c r="W424" s="57"/>
      <c r="X424" s="57"/>
      <c r="Y424" t="s">
        <v>99</v>
      </c>
      <c r="Z424" s="39"/>
      <c r="AA424" s="39"/>
      <c r="AB424" t="s">
        <v>76</v>
      </c>
      <c r="AC424" s="42">
        <v>38007</v>
      </c>
      <c r="AD424" s="42">
        <v>38761</v>
      </c>
      <c r="AE424" s="53" t="s">
        <v>453</v>
      </c>
      <c r="AF424" s="54" t="s">
        <v>35</v>
      </c>
      <c r="AG424" s="54"/>
      <c r="AH424" s="39" t="s">
        <v>70</v>
      </c>
      <c r="AI424" s="39" t="s">
        <v>52</v>
      </c>
    </row>
    <row r="425" spans="1:35" ht="17" x14ac:dyDescent="0.2">
      <c r="A425">
        <v>325</v>
      </c>
      <c r="B425">
        <v>304</v>
      </c>
      <c r="C425" t="s">
        <v>5019</v>
      </c>
      <c r="D425" s="39" t="s">
        <v>1915</v>
      </c>
      <c r="E425" s="39" t="s">
        <v>1916</v>
      </c>
      <c r="F425" s="39" t="s">
        <v>35</v>
      </c>
      <c r="G425" s="39" t="s">
        <v>55</v>
      </c>
      <c r="I425" s="39" t="s">
        <v>1917</v>
      </c>
      <c r="J425" s="39" t="s">
        <v>35</v>
      </c>
      <c r="K425" t="s">
        <v>1918</v>
      </c>
      <c r="L425" t="s">
        <v>1919</v>
      </c>
      <c r="M425" s="6" t="s">
        <v>6041</v>
      </c>
      <c r="O425" t="s">
        <v>1920</v>
      </c>
      <c r="P425" s="35" t="s">
        <v>894</v>
      </c>
      <c r="Q425" t="s">
        <v>200</v>
      </c>
      <c r="R425" t="s">
        <v>1719</v>
      </c>
      <c r="S425" s="6" t="s">
        <v>4994</v>
      </c>
      <c r="T425" s="43" t="s">
        <v>400</v>
      </c>
      <c r="U425" s="43" t="s">
        <v>409</v>
      </c>
      <c r="V425" t="s">
        <v>1921</v>
      </c>
      <c r="W425" s="57"/>
      <c r="X425" s="57"/>
      <c r="Y425" t="s">
        <v>1922</v>
      </c>
      <c r="Z425" s="39"/>
      <c r="AA425" s="39"/>
      <c r="AB425" t="s">
        <v>200</v>
      </c>
      <c r="AC425" s="42">
        <v>40113</v>
      </c>
      <c r="AD425" s="42">
        <v>41157</v>
      </c>
      <c r="AE425" s="53" t="s">
        <v>453</v>
      </c>
      <c r="AF425" s="54" t="s">
        <v>35</v>
      </c>
      <c r="AG425" s="54"/>
      <c r="AH425" s="39" t="s">
        <v>70</v>
      </c>
      <c r="AI425" s="39" t="s">
        <v>52</v>
      </c>
    </row>
    <row r="426" spans="1:35" ht="17" x14ac:dyDescent="0.2">
      <c r="B426">
        <v>330</v>
      </c>
      <c r="C426" t="s">
        <v>5802</v>
      </c>
      <c r="D426" s="39" t="s">
        <v>2052</v>
      </c>
      <c r="E426" s="39" t="s">
        <v>2053</v>
      </c>
      <c r="F426" s="39" t="s">
        <v>35</v>
      </c>
      <c r="G426" s="39" t="s">
        <v>259</v>
      </c>
      <c r="I426" s="39" t="s">
        <v>2054</v>
      </c>
      <c r="J426" s="39" t="s">
        <v>35</v>
      </c>
      <c r="K426" t="s">
        <v>2055</v>
      </c>
      <c r="L426" t="s">
        <v>2056</v>
      </c>
      <c r="M426" s="6" t="s">
        <v>6042</v>
      </c>
      <c r="N426" t="s">
        <v>131</v>
      </c>
      <c r="O426" t="s">
        <v>836</v>
      </c>
      <c r="P426" s="35" t="s">
        <v>356</v>
      </c>
      <c r="Q426" t="s">
        <v>115</v>
      </c>
      <c r="R426" t="s">
        <v>837</v>
      </c>
      <c r="S426" s="6" t="s">
        <v>35</v>
      </c>
      <c r="T426" s="43" t="s">
        <v>246</v>
      </c>
      <c r="U426" s="43" t="s">
        <v>246</v>
      </c>
      <c r="V426" t="s">
        <v>839</v>
      </c>
      <c r="W426" s="57"/>
      <c r="X426" s="57"/>
      <c r="Y426" t="s">
        <v>354</v>
      </c>
      <c r="Z426" s="39"/>
      <c r="AA426" s="39"/>
      <c r="AB426" t="s">
        <v>115</v>
      </c>
      <c r="AC426" s="42">
        <v>44932</v>
      </c>
      <c r="AD426" s="42">
        <v>45661</v>
      </c>
      <c r="AE426" s="53" t="s">
        <v>51</v>
      </c>
      <c r="AF426" s="54" t="s">
        <v>35</v>
      </c>
      <c r="AG426" s="54"/>
      <c r="AH426" s="39" t="s">
        <v>52</v>
      </c>
      <c r="AI426" s="39" t="s">
        <v>52</v>
      </c>
    </row>
    <row r="427" spans="1:35" ht="17" x14ac:dyDescent="0.2">
      <c r="A427">
        <v>113</v>
      </c>
      <c r="B427">
        <v>168</v>
      </c>
      <c r="C427" t="s">
        <v>5020</v>
      </c>
      <c r="D427" s="39" t="s">
        <v>1197</v>
      </c>
      <c r="E427" s="39" t="s">
        <v>1198</v>
      </c>
      <c r="F427" s="39" t="s">
        <v>35</v>
      </c>
      <c r="G427" s="39" t="s">
        <v>205</v>
      </c>
      <c r="H427" s="34"/>
      <c r="I427" s="39" t="s">
        <v>1199</v>
      </c>
      <c r="J427" s="39" t="s">
        <v>35</v>
      </c>
      <c r="K427" t="s">
        <v>1200</v>
      </c>
      <c r="L427" s="49" t="s">
        <v>1201</v>
      </c>
      <c r="M427" s="6" t="s">
        <v>6043</v>
      </c>
      <c r="N427" s="37" t="s">
        <v>59</v>
      </c>
      <c r="O427" t="s">
        <v>49</v>
      </c>
      <c r="P427" s="35" t="s">
        <v>50</v>
      </c>
      <c r="Q427" t="s">
        <v>62</v>
      </c>
      <c r="R427" t="s">
        <v>1202</v>
      </c>
      <c r="S427" s="6" t="s">
        <v>6136</v>
      </c>
      <c r="T427" s="43" t="s">
        <v>1203</v>
      </c>
      <c r="U427" s="43" t="s">
        <v>1204</v>
      </c>
      <c r="V427" t="s">
        <v>49</v>
      </c>
      <c r="W427" s="57"/>
      <c r="X427" s="57"/>
      <c r="Y427" t="s">
        <v>50</v>
      </c>
      <c r="Z427" s="39"/>
      <c r="AA427" s="39"/>
      <c r="AB427" t="s">
        <v>115</v>
      </c>
      <c r="AC427" s="42">
        <v>35488</v>
      </c>
      <c r="AD427" s="42">
        <v>35766</v>
      </c>
      <c r="AE427" s="53" t="s">
        <v>157</v>
      </c>
      <c r="AF427" s="54" t="s">
        <v>35</v>
      </c>
      <c r="AG427" s="54"/>
      <c r="AH427" s="39" t="s">
        <v>70</v>
      </c>
      <c r="AI427" s="39" t="s">
        <v>52</v>
      </c>
    </row>
    <row r="428" spans="1:35" ht="17" x14ac:dyDescent="0.2">
      <c r="A428">
        <v>76</v>
      </c>
      <c r="B428">
        <v>311</v>
      </c>
      <c r="C428" t="s">
        <v>5023</v>
      </c>
      <c r="D428" s="39" t="s">
        <v>1948</v>
      </c>
      <c r="E428" s="39" t="s">
        <v>1198</v>
      </c>
      <c r="F428" s="39" t="s">
        <v>35</v>
      </c>
      <c r="G428" s="39" t="s">
        <v>194</v>
      </c>
      <c r="I428" s="39" t="s">
        <v>1949</v>
      </c>
      <c r="J428" s="39" t="s">
        <v>35</v>
      </c>
      <c r="K428" t="s">
        <v>1950</v>
      </c>
      <c r="L428" t="s">
        <v>1951</v>
      </c>
      <c r="M428" s="6" t="s">
        <v>4285</v>
      </c>
      <c r="N428" t="s">
        <v>59</v>
      </c>
      <c r="O428" t="s">
        <v>1952</v>
      </c>
      <c r="P428" s="35" t="s">
        <v>50</v>
      </c>
      <c r="Q428" t="s">
        <v>558</v>
      </c>
      <c r="R428" t="s">
        <v>1953</v>
      </c>
      <c r="S428" s="6" t="s">
        <v>4997</v>
      </c>
      <c r="T428" s="43" t="s">
        <v>1954</v>
      </c>
      <c r="U428" s="43" t="s">
        <v>324</v>
      </c>
      <c r="V428" t="s">
        <v>49</v>
      </c>
      <c r="W428" s="57"/>
      <c r="X428" s="57"/>
      <c r="Y428" t="s">
        <v>50</v>
      </c>
      <c r="Z428" s="39"/>
      <c r="AA428" s="39"/>
      <c r="AB428" t="s">
        <v>558</v>
      </c>
      <c r="AC428" s="42">
        <v>33865</v>
      </c>
      <c r="AD428" s="42">
        <v>34236</v>
      </c>
      <c r="AE428" s="53" t="s">
        <v>51</v>
      </c>
      <c r="AF428" s="54" t="s">
        <v>35</v>
      </c>
      <c r="AG428" s="54"/>
      <c r="AH428" s="39" t="s">
        <v>52</v>
      </c>
      <c r="AI428" s="39" t="s">
        <v>52</v>
      </c>
    </row>
    <row r="429" spans="1:35" ht="17" x14ac:dyDescent="0.2">
      <c r="A429">
        <v>46</v>
      </c>
      <c r="B429">
        <v>427</v>
      </c>
      <c r="C429" t="s">
        <v>5027</v>
      </c>
      <c r="D429" s="39" t="s">
        <v>2533</v>
      </c>
      <c r="E429" s="39" t="s">
        <v>1198</v>
      </c>
      <c r="F429" s="39" t="s">
        <v>35</v>
      </c>
      <c r="G429" s="39" t="s">
        <v>194</v>
      </c>
      <c r="I429" s="39" t="s">
        <v>2534</v>
      </c>
      <c r="J429" s="39" t="s">
        <v>35</v>
      </c>
      <c r="K429" t="s">
        <v>2535</v>
      </c>
      <c r="L429" t="s">
        <v>2536</v>
      </c>
      <c r="M429" s="6" t="s">
        <v>35</v>
      </c>
      <c r="N429" t="s">
        <v>86</v>
      </c>
      <c r="O429" t="s">
        <v>49</v>
      </c>
      <c r="P429" s="35" t="s">
        <v>50</v>
      </c>
      <c r="Q429" t="s">
        <v>62</v>
      </c>
      <c r="R429" t="s">
        <v>2537</v>
      </c>
      <c r="S429" s="6" t="s">
        <v>35</v>
      </c>
      <c r="T429" s="43" t="s">
        <v>714</v>
      </c>
      <c r="U429" s="43" t="s">
        <v>35</v>
      </c>
      <c r="V429" t="s">
        <v>49</v>
      </c>
      <c r="W429" s="57"/>
      <c r="X429" s="57"/>
      <c r="Y429" t="s">
        <v>50</v>
      </c>
      <c r="Z429" s="39"/>
      <c r="AA429" s="39"/>
      <c r="AB429" t="s">
        <v>35</v>
      </c>
      <c r="AC429" s="42">
        <v>33240</v>
      </c>
      <c r="AD429" s="42">
        <v>33602</v>
      </c>
      <c r="AE429" s="53" t="s">
        <v>51</v>
      </c>
      <c r="AF429" s="54" t="s">
        <v>35</v>
      </c>
      <c r="AG429" s="54"/>
      <c r="AH429" s="39" t="s">
        <v>52</v>
      </c>
      <c r="AI429" s="39" t="s">
        <v>52</v>
      </c>
    </row>
    <row r="430" spans="1:35" ht="17" x14ac:dyDescent="0.2">
      <c r="A430">
        <v>30</v>
      </c>
      <c r="B430">
        <v>270</v>
      </c>
      <c r="C430" t="s">
        <v>5032</v>
      </c>
      <c r="D430" s="39" t="s">
        <v>1745</v>
      </c>
      <c r="E430" s="39" t="s">
        <v>1030</v>
      </c>
      <c r="F430" s="39" t="s">
        <v>35</v>
      </c>
      <c r="G430" s="39" t="s">
        <v>194</v>
      </c>
      <c r="I430" s="39" t="s">
        <v>35</v>
      </c>
      <c r="J430" s="39" t="s">
        <v>35</v>
      </c>
      <c r="L430" t="s">
        <v>35</v>
      </c>
      <c r="M430" s="6" t="s">
        <v>5003</v>
      </c>
      <c r="P430" s="35"/>
      <c r="Q430" t="s">
        <v>35</v>
      </c>
      <c r="S430" s="6" t="s">
        <v>5003</v>
      </c>
      <c r="T430" s="43" t="s">
        <v>35</v>
      </c>
      <c r="U430" s="43" t="s">
        <v>35</v>
      </c>
      <c r="W430" s="57"/>
      <c r="X430" s="57"/>
      <c r="Z430" s="39"/>
      <c r="AA430" s="39"/>
      <c r="AB430" t="s">
        <v>35</v>
      </c>
      <c r="AC430" s="42">
        <v>33240</v>
      </c>
      <c r="AD430" s="42">
        <v>33602</v>
      </c>
      <c r="AE430" s="53" t="s">
        <v>51</v>
      </c>
      <c r="AF430" s="54" t="s">
        <v>35</v>
      </c>
      <c r="AG430" s="54"/>
      <c r="AH430" s="39" t="s">
        <v>52</v>
      </c>
      <c r="AI430" s="39" t="s">
        <v>52</v>
      </c>
    </row>
    <row r="431" spans="1:35" ht="17" x14ac:dyDescent="0.2">
      <c r="A431">
        <v>49</v>
      </c>
      <c r="B431">
        <v>464</v>
      </c>
      <c r="C431" t="s">
        <v>5033</v>
      </c>
      <c r="D431" s="39" t="s">
        <v>2690</v>
      </c>
      <c r="E431" s="39" t="s">
        <v>1030</v>
      </c>
      <c r="F431" s="39" t="s">
        <v>35</v>
      </c>
      <c r="G431" s="39" t="s">
        <v>139</v>
      </c>
      <c r="I431" s="39" t="s">
        <v>2691</v>
      </c>
      <c r="J431" s="39" t="s">
        <v>35</v>
      </c>
      <c r="K431" t="s">
        <v>2692</v>
      </c>
      <c r="L431" t="s">
        <v>2693</v>
      </c>
      <c r="M431" s="6" t="s">
        <v>6044</v>
      </c>
      <c r="N431" t="s">
        <v>59</v>
      </c>
      <c r="O431" t="s">
        <v>49</v>
      </c>
      <c r="P431" s="35" t="s">
        <v>50</v>
      </c>
      <c r="Q431" t="s">
        <v>115</v>
      </c>
      <c r="R431" t="s">
        <v>2694</v>
      </c>
      <c r="S431" s="6" t="s">
        <v>6234</v>
      </c>
      <c r="T431" s="43" t="s">
        <v>330</v>
      </c>
      <c r="U431" s="43" t="s">
        <v>2695</v>
      </c>
      <c r="V431" t="s">
        <v>49</v>
      </c>
      <c r="W431" s="57"/>
      <c r="X431" s="57"/>
      <c r="Y431" t="s">
        <v>50</v>
      </c>
      <c r="Z431" s="39"/>
      <c r="AA431" s="39"/>
      <c r="AB431" t="s">
        <v>115</v>
      </c>
      <c r="AC431" s="42">
        <v>33240</v>
      </c>
      <c r="AD431" s="42">
        <v>34233</v>
      </c>
      <c r="AE431" s="53" t="s">
        <v>51</v>
      </c>
      <c r="AF431" s="54" t="s">
        <v>35</v>
      </c>
      <c r="AG431" s="54"/>
      <c r="AH431" s="39" t="s">
        <v>52</v>
      </c>
      <c r="AI431" s="39" t="s">
        <v>52</v>
      </c>
    </row>
    <row r="432" spans="1:35" ht="17" x14ac:dyDescent="0.2">
      <c r="A432">
        <v>79</v>
      </c>
      <c r="B432">
        <v>482</v>
      </c>
      <c r="C432" t="s">
        <v>5036</v>
      </c>
      <c r="D432" s="39" t="s">
        <v>2771</v>
      </c>
      <c r="E432" s="39" t="s">
        <v>1030</v>
      </c>
      <c r="F432" s="39" t="s">
        <v>35</v>
      </c>
      <c r="G432" s="39" t="s">
        <v>194</v>
      </c>
      <c r="I432" s="39" t="s">
        <v>2772</v>
      </c>
      <c r="J432" s="39" t="s">
        <v>35</v>
      </c>
      <c r="K432" t="s">
        <v>2773</v>
      </c>
      <c r="L432" t="s">
        <v>2774</v>
      </c>
      <c r="M432" s="6" t="s">
        <v>6045</v>
      </c>
      <c r="N432" t="s">
        <v>86</v>
      </c>
      <c r="O432" t="s">
        <v>49</v>
      </c>
      <c r="P432" s="35" t="s">
        <v>50</v>
      </c>
      <c r="Q432" t="s">
        <v>44</v>
      </c>
      <c r="R432" t="s">
        <v>2775</v>
      </c>
      <c r="S432" s="6" t="s">
        <v>6235</v>
      </c>
      <c r="T432" s="43" t="s">
        <v>66</v>
      </c>
      <c r="U432" s="43" t="s">
        <v>324</v>
      </c>
      <c r="V432" t="s">
        <v>49</v>
      </c>
      <c r="W432" s="57"/>
      <c r="X432" s="57"/>
      <c r="Y432" t="s">
        <v>50</v>
      </c>
      <c r="Z432" s="39"/>
      <c r="AA432" s="39"/>
      <c r="AB432" t="s">
        <v>180</v>
      </c>
      <c r="AC432" s="42">
        <v>33865</v>
      </c>
      <c r="AD432" s="42">
        <v>34233</v>
      </c>
      <c r="AE432" s="53" t="s">
        <v>51</v>
      </c>
      <c r="AF432" s="54" t="s">
        <v>35</v>
      </c>
      <c r="AG432" s="54"/>
      <c r="AH432" s="39" t="s">
        <v>52</v>
      </c>
      <c r="AI432" s="39" t="s">
        <v>52</v>
      </c>
    </row>
    <row r="433" spans="1:75" ht="17" x14ac:dyDescent="0.2">
      <c r="A433" t="s">
        <v>35</v>
      </c>
      <c r="B433">
        <v>578</v>
      </c>
      <c r="C433" t="s">
        <v>5836</v>
      </c>
      <c r="D433" s="39" t="s">
        <v>3241</v>
      </c>
      <c r="E433" s="39" t="s">
        <v>3242</v>
      </c>
      <c r="F433" s="39" t="s">
        <v>349</v>
      </c>
      <c r="G433" s="39" t="s">
        <v>259</v>
      </c>
      <c r="I433" s="39" t="s">
        <v>3243</v>
      </c>
      <c r="J433" s="39" t="s">
        <v>35</v>
      </c>
      <c r="K433" t="s">
        <v>3244</v>
      </c>
      <c r="L433" t="s">
        <v>555</v>
      </c>
      <c r="M433" s="6" t="s">
        <v>35</v>
      </c>
      <c r="N433" t="s">
        <v>131</v>
      </c>
      <c r="O433" t="s">
        <v>49</v>
      </c>
      <c r="P433" s="35" t="s">
        <v>50</v>
      </c>
      <c r="Q433" t="s">
        <v>132</v>
      </c>
      <c r="R433" t="s">
        <v>852</v>
      </c>
      <c r="S433" s="6" t="s">
        <v>35</v>
      </c>
      <c r="T433" s="43" t="s">
        <v>35</v>
      </c>
      <c r="U433" s="43" t="s">
        <v>35</v>
      </c>
      <c r="W433" s="57"/>
      <c r="X433" s="57"/>
      <c r="Z433" s="39"/>
      <c r="AA433" s="39"/>
      <c r="AB433" t="s">
        <v>35</v>
      </c>
      <c r="AC433" s="42">
        <v>45292</v>
      </c>
      <c r="AD433" s="42">
        <v>45666</v>
      </c>
      <c r="AE433" s="53" t="s">
        <v>68</v>
      </c>
      <c r="AF433" s="54" t="s">
        <v>35</v>
      </c>
      <c r="AG433" s="54"/>
      <c r="AH433" s="39" t="s">
        <v>70</v>
      </c>
      <c r="AI433" s="39" t="s">
        <v>70</v>
      </c>
    </row>
    <row r="434" spans="1:75" ht="17" x14ac:dyDescent="0.2">
      <c r="A434">
        <v>268</v>
      </c>
      <c r="B434">
        <v>33</v>
      </c>
      <c r="C434" t="s">
        <v>5043</v>
      </c>
      <c r="D434" s="39" t="s">
        <v>331</v>
      </c>
      <c r="E434" s="39" t="s">
        <v>332</v>
      </c>
      <c r="F434" s="39" t="s">
        <v>35</v>
      </c>
      <c r="G434" s="39" t="s">
        <v>82</v>
      </c>
      <c r="I434" s="39" t="s">
        <v>333</v>
      </c>
      <c r="J434" s="39" t="s">
        <v>35</v>
      </c>
      <c r="K434" t="s">
        <v>334</v>
      </c>
      <c r="L434" t="s">
        <v>335</v>
      </c>
      <c r="M434" s="6" t="s">
        <v>6046</v>
      </c>
      <c r="N434" t="s">
        <v>86</v>
      </c>
      <c r="O434" t="s">
        <v>314</v>
      </c>
      <c r="P434" s="35" t="s">
        <v>50</v>
      </c>
      <c r="Q434" t="s">
        <v>44</v>
      </c>
      <c r="R434" t="s">
        <v>336</v>
      </c>
      <c r="S434" s="6" t="s">
        <v>6236</v>
      </c>
      <c r="T434" s="43" t="s">
        <v>337</v>
      </c>
      <c r="U434" s="43" t="s">
        <v>338</v>
      </c>
      <c r="V434" t="s">
        <v>49</v>
      </c>
      <c r="W434" s="57"/>
      <c r="X434" s="57"/>
      <c r="Y434" t="s">
        <v>50</v>
      </c>
      <c r="Z434" s="39"/>
      <c r="AA434" s="39"/>
      <c r="AB434" t="s">
        <v>87</v>
      </c>
      <c r="AC434" s="42">
        <v>38538</v>
      </c>
      <c r="AD434" s="42">
        <v>38860</v>
      </c>
      <c r="AE434" s="53" t="s">
        <v>51</v>
      </c>
      <c r="AF434" s="54" t="s">
        <v>35</v>
      </c>
      <c r="AG434" s="54"/>
      <c r="AH434" s="39" t="s">
        <v>52</v>
      </c>
      <c r="AI434" s="39" t="s">
        <v>52</v>
      </c>
    </row>
    <row r="435" spans="1:75" ht="17" x14ac:dyDescent="0.2">
      <c r="A435">
        <v>365</v>
      </c>
      <c r="B435">
        <v>43</v>
      </c>
      <c r="C435" t="s">
        <v>5048</v>
      </c>
      <c r="D435" s="39" t="s">
        <v>404</v>
      </c>
      <c r="E435" s="39" t="s">
        <v>332</v>
      </c>
      <c r="F435" s="39" t="s">
        <v>35</v>
      </c>
      <c r="G435" s="39" t="s">
        <v>160</v>
      </c>
      <c r="I435" s="39" t="s">
        <v>405</v>
      </c>
      <c r="J435" s="39" t="s">
        <v>35</v>
      </c>
      <c r="K435" t="s">
        <v>406</v>
      </c>
      <c r="L435" t="s">
        <v>407</v>
      </c>
      <c r="M435" s="6" t="s">
        <v>6047</v>
      </c>
      <c r="N435" t="s">
        <v>41</v>
      </c>
      <c r="O435" t="s">
        <v>42</v>
      </c>
      <c r="P435" s="35" t="s">
        <v>43</v>
      </c>
      <c r="Q435" t="s">
        <v>35</v>
      </c>
      <c r="R435" t="s">
        <v>408</v>
      </c>
      <c r="S435" s="6" t="s">
        <v>6237</v>
      </c>
      <c r="T435" s="43" t="s">
        <v>409</v>
      </c>
      <c r="U435" s="43" t="s">
        <v>410</v>
      </c>
      <c r="V435" t="s">
        <v>42</v>
      </c>
      <c r="W435" s="57"/>
      <c r="X435" s="57"/>
      <c r="Y435" t="s">
        <v>43</v>
      </c>
      <c r="Z435" s="39"/>
      <c r="AA435" s="39"/>
      <c r="AB435" t="s">
        <v>44</v>
      </c>
      <c r="AC435" s="42">
        <v>41310</v>
      </c>
      <c r="AD435" s="42">
        <v>41680</v>
      </c>
      <c r="AE435" s="53" t="s">
        <v>51</v>
      </c>
      <c r="AF435" s="54" t="s">
        <v>35</v>
      </c>
      <c r="AG435" s="54"/>
      <c r="AH435" s="39" t="s">
        <v>52</v>
      </c>
      <c r="AI435" s="39" t="s">
        <v>52</v>
      </c>
    </row>
    <row r="436" spans="1:75" ht="17" x14ac:dyDescent="0.2">
      <c r="A436">
        <v>597</v>
      </c>
      <c r="B436">
        <v>66</v>
      </c>
      <c r="C436" t="s">
        <v>5765</v>
      </c>
      <c r="D436" s="39" t="s">
        <v>552</v>
      </c>
      <c r="E436" s="39" t="s">
        <v>332</v>
      </c>
      <c r="F436" s="39" t="s">
        <v>35</v>
      </c>
      <c r="G436" s="39" t="s">
        <v>259</v>
      </c>
      <c r="I436" s="39" t="s">
        <v>553</v>
      </c>
      <c r="J436" s="39" t="s">
        <v>35</v>
      </c>
      <c r="K436" t="s">
        <v>554</v>
      </c>
      <c r="L436" s="49" t="s">
        <v>555</v>
      </c>
      <c r="M436" s="6" t="s">
        <v>5021</v>
      </c>
      <c r="N436" t="s">
        <v>131</v>
      </c>
      <c r="O436" t="s">
        <v>49</v>
      </c>
      <c r="P436" s="35" t="s">
        <v>50</v>
      </c>
      <c r="Q436" t="s">
        <v>132</v>
      </c>
      <c r="R436" t="s">
        <v>556</v>
      </c>
      <c r="S436" s="6" t="s">
        <v>5022</v>
      </c>
      <c r="T436" s="43" t="s">
        <v>48</v>
      </c>
      <c r="U436" s="43" t="s">
        <v>246</v>
      </c>
      <c r="V436" t="s">
        <v>557</v>
      </c>
      <c r="W436" s="57"/>
      <c r="X436" s="57"/>
      <c r="Y436" t="s">
        <v>50</v>
      </c>
      <c r="Z436" s="39"/>
      <c r="AA436" s="39"/>
      <c r="AB436" t="s">
        <v>558</v>
      </c>
      <c r="AC436" s="42">
        <v>44571</v>
      </c>
      <c r="AD436" s="42" t="s">
        <v>324</v>
      </c>
      <c r="AE436" s="53" t="s">
        <v>559</v>
      </c>
      <c r="AF436" s="54" t="s">
        <v>35</v>
      </c>
      <c r="AG436" s="54"/>
      <c r="AH436" s="39" t="s">
        <v>52</v>
      </c>
      <c r="AI436" s="39" t="s">
        <v>70</v>
      </c>
    </row>
    <row r="437" spans="1:75" ht="17" x14ac:dyDescent="0.2">
      <c r="A437">
        <v>436</v>
      </c>
      <c r="B437">
        <v>74</v>
      </c>
      <c r="C437" t="s">
        <v>5050</v>
      </c>
      <c r="D437" s="39" t="s">
        <v>608</v>
      </c>
      <c r="E437" s="39" t="s">
        <v>332</v>
      </c>
      <c r="F437" s="39" t="s">
        <v>35</v>
      </c>
      <c r="G437" s="39" t="s">
        <v>36</v>
      </c>
      <c r="I437" s="39" t="s">
        <v>609</v>
      </c>
      <c r="J437" s="39" t="s">
        <v>35</v>
      </c>
      <c r="K437" t="s">
        <v>610</v>
      </c>
      <c r="L437" s="49" t="s">
        <v>611</v>
      </c>
      <c r="M437" s="6" t="s">
        <v>6048</v>
      </c>
      <c r="N437" t="s">
        <v>59</v>
      </c>
      <c r="O437" t="s">
        <v>49</v>
      </c>
      <c r="P437" s="35" t="s">
        <v>50</v>
      </c>
      <c r="Q437" t="s">
        <v>44</v>
      </c>
      <c r="R437" t="s">
        <v>612</v>
      </c>
      <c r="S437" s="6" t="s">
        <v>3589</v>
      </c>
      <c r="T437" s="43" t="s">
        <v>613</v>
      </c>
      <c r="U437" s="43" t="s">
        <v>614</v>
      </c>
      <c r="V437" t="s">
        <v>49</v>
      </c>
      <c r="W437" s="57"/>
      <c r="X437" s="57"/>
      <c r="Y437" t="s">
        <v>50</v>
      </c>
      <c r="Z437" s="39"/>
      <c r="AA437" s="39"/>
      <c r="AB437" t="s">
        <v>62</v>
      </c>
      <c r="AC437" s="42">
        <v>42886</v>
      </c>
      <c r="AD437" s="42">
        <v>44377</v>
      </c>
      <c r="AE437" s="53" t="s">
        <v>51</v>
      </c>
      <c r="AF437" s="54" t="s">
        <v>157</v>
      </c>
      <c r="AG437" s="54"/>
      <c r="AH437" s="39" t="s">
        <v>70</v>
      </c>
      <c r="AI437" s="39" t="s">
        <v>52</v>
      </c>
    </row>
    <row r="438" spans="1:75" ht="17" x14ac:dyDescent="0.2">
      <c r="A438">
        <v>599</v>
      </c>
      <c r="B438">
        <v>82</v>
      </c>
      <c r="C438" t="s">
        <v>5773</v>
      </c>
      <c r="D438" s="39" t="s">
        <v>667</v>
      </c>
      <c r="E438" s="39" t="s">
        <v>332</v>
      </c>
      <c r="F438" s="39" t="s">
        <v>35</v>
      </c>
      <c r="G438" s="39" t="s">
        <v>36</v>
      </c>
      <c r="I438" s="39" t="s">
        <v>668</v>
      </c>
      <c r="J438" s="39" t="s">
        <v>669</v>
      </c>
      <c r="K438" t="s">
        <v>670</v>
      </c>
      <c r="L438" s="49" t="s">
        <v>58</v>
      </c>
      <c r="M438" s="6" t="s">
        <v>5913</v>
      </c>
      <c r="N438" t="s">
        <v>41</v>
      </c>
      <c r="O438" t="s">
        <v>671</v>
      </c>
      <c r="P438" s="35" t="s">
        <v>672</v>
      </c>
      <c r="Q438" t="s">
        <v>62</v>
      </c>
      <c r="R438" t="s">
        <v>171</v>
      </c>
      <c r="S438" s="6" t="s">
        <v>5031</v>
      </c>
      <c r="T438" s="43" t="s">
        <v>48</v>
      </c>
      <c r="U438" s="43" t="s">
        <v>48</v>
      </c>
      <c r="V438" t="s">
        <v>190</v>
      </c>
      <c r="W438" s="57"/>
      <c r="X438" s="57"/>
      <c r="Y438" t="s">
        <v>191</v>
      </c>
      <c r="Z438" s="39"/>
      <c r="AA438" s="39"/>
      <c r="AB438" t="s">
        <v>44</v>
      </c>
      <c r="AE438" s="53"/>
      <c r="AF438" s="54" t="s">
        <v>35</v>
      </c>
      <c r="AG438" s="54"/>
      <c r="AH438" s="39" t="s">
        <v>52</v>
      </c>
      <c r="AI438" s="39" t="s">
        <v>52</v>
      </c>
    </row>
    <row r="439" spans="1:75" ht="17" x14ac:dyDescent="0.2">
      <c r="A439">
        <v>470</v>
      </c>
      <c r="B439">
        <v>122</v>
      </c>
      <c r="C439" t="s">
        <v>5051</v>
      </c>
      <c r="D439" s="39" t="s">
        <v>931</v>
      </c>
      <c r="E439" s="39" t="s">
        <v>332</v>
      </c>
      <c r="F439" s="39" t="s">
        <v>35</v>
      </c>
      <c r="G439" s="39" t="s">
        <v>36</v>
      </c>
      <c r="I439" s="39" t="s">
        <v>932</v>
      </c>
      <c r="J439" s="39" t="s">
        <v>35</v>
      </c>
      <c r="K439" t="s">
        <v>933</v>
      </c>
      <c r="L439" s="49" t="s">
        <v>934</v>
      </c>
      <c r="M439" s="6" t="s">
        <v>35</v>
      </c>
      <c r="N439" t="s">
        <v>59</v>
      </c>
      <c r="O439" t="s">
        <v>49</v>
      </c>
      <c r="P439" s="35" t="s">
        <v>50</v>
      </c>
      <c r="Q439" t="s">
        <v>62</v>
      </c>
      <c r="R439" t="s">
        <v>802</v>
      </c>
      <c r="S439" s="6" t="s">
        <v>35</v>
      </c>
      <c r="T439" s="43" t="s">
        <v>935</v>
      </c>
      <c r="U439" s="43" t="s">
        <v>936</v>
      </c>
      <c r="V439" t="s">
        <v>49</v>
      </c>
      <c r="W439" s="57"/>
      <c r="X439" s="57"/>
      <c r="Y439" t="s">
        <v>50</v>
      </c>
      <c r="Z439" s="39"/>
      <c r="AA439" s="39"/>
      <c r="AB439" t="s">
        <v>62</v>
      </c>
      <c r="AC439" s="42">
        <v>43255</v>
      </c>
      <c r="AD439" s="42">
        <v>44774</v>
      </c>
      <c r="AE439" s="53" t="s">
        <v>453</v>
      </c>
      <c r="AF439" s="54" t="s">
        <v>35</v>
      </c>
      <c r="AG439" s="54"/>
      <c r="AH439" s="39" t="s">
        <v>70</v>
      </c>
      <c r="AI439" s="39" t="s">
        <v>52</v>
      </c>
    </row>
    <row r="440" spans="1:75" ht="34" x14ac:dyDescent="0.2">
      <c r="A440">
        <v>4</v>
      </c>
      <c r="B440">
        <v>154</v>
      </c>
      <c r="C440" t="s">
        <v>5781</v>
      </c>
      <c r="D440" s="39" t="s">
        <v>1126</v>
      </c>
      <c r="E440" s="39" t="s">
        <v>332</v>
      </c>
      <c r="F440" s="39" t="s">
        <v>1127</v>
      </c>
      <c r="G440" s="39" t="s">
        <v>139</v>
      </c>
      <c r="I440" s="39" t="s">
        <v>1128</v>
      </c>
      <c r="J440" s="39" t="s">
        <v>35</v>
      </c>
      <c r="K440" t="s">
        <v>1129</v>
      </c>
      <c r="L440" s="49" t="s">
        <v>1130</v>
      </c>
      <c r="M440" s="6" t="s">
        <v>6049</v>
      </c>
      <c r="N440" t="s">
        <v>86</v>
      </c>
      <c r="O440" t="s">
        <v>49</v>
      </c>
      <c r="P440" s="35" t="s">
        <v>50</v>
      </c>
      <c r="Q440" t="s">
        <v>62</v>
      </c>
      <c r="R440" t="s">
        <v>1131</v>
      </c>
      <c r="S440" s="6" t="s">
        <v>5035</v>
      </c>
      <c r="T440" s="43" t="s">
        <v>826</v>
      </c>
      <c r="U440" s="43" t="s">
        <v>1132</v>
      </c>
      <c r="V440" t="s">
        <v>49</v>
      </c>
      <c r="W440" s="57"/>
      <c r="X440" s="57"/>
      <c r="Y440" t="s">
        <v>50</v>
      </c>
      <c r="Z440" s="39"/>
      <c r="AA440" s="39"/>
      <c r="AB440" t="s">
        <v>115</v>
      </c>
      <c r="AC440" s="42">
        <v>32464</v>
      </c>
      <c r="AD440" s="42">
        <v>33006</v>
      </c>
      <c r="AE440" s="53" t="s">
        <v>51</v>
      </c>
      <c r="AF440" s="54" t="s">
        <v>35</v>
      </c>
      <c r="AG440" s="54"/>
      <c r="AH440" s="39" t="s">
        <v>52</v>
      </c>
      <c r="AI440" s="39" t="s">
        <v>52</v>
      </c>
    </row>
    <row r="441" spans="1:75" s="41" customFormat="1" ht="15.5" customHeight="1" x14ac:dyDescent="0.2">
      <c r="A441">
        <v>474</v>
      </c>
      <c r="B441">
        <v>157</v>
      </c>
      <c r="C441" t="s">
        <v>5054</v>
      </c>
      <c r="D441" s="39" t="s">
        <v>1147</v>
      </c>
      <c r="E441" s="39" t="s">
        <v>332</v>
      </c>
      <c r="F441" s="39" t="s">
        <v>35</v>
      </c>
      <c r="G441" s="39" t="s">
        <v>36</v>
      </c>
      <c r="H441"/>
      <c r="I441" s="39" t="s">
        <v>1148</v>
      </c>
      <c r="J441" s="39" t="s">
        <v>35</v>
      </c>
      <c r="K441" t="s">
        <v>1149</v>
      </c>
      <c r="L441" s="49" t="s">
        <v>245</v>
      </c>
      <c r="M441" s="6" t="s">
        <v>5913</v>
      </c>
      <c r="N441" t="s">
        <v>59</v>
      </c>
      <c r="O441" t="s">
        <v>49</v>
      </c>
      <c r="P441" s="35" t="s">
        <v>50</v>
      </c>
      <c r="Q441" t="s">
        <v>44</v>
      </c>
      <c r="R441" t="s">
        <v>1150</v>
      </c>
      <c r="S441" s="6" t="s">
        <v>756</v>
      </c>
      <c r="T441" s="43" t="s">
        <v>66</v>
      </c>
      <c r="U441" s="43" t="s">
        <v>47</v>
      </c>
      <c r="V441" t="s">
        <v>1151</v>
      </c>
      <c r="W441" s="57"/>
      <c r="X441" s="57"/>
      <c r="Y441" t="s">
        <v>640</v>
      </c>
      <c r="Z441" s="39"/>
      <c r="AA441" s="39"/>
      <c r="AB441" t="s">
        <v>44</v>
      </c>
      <c r="AC441" s="42">
        <v>43115</v>
      </c>
      <c r="AD441" s="42"/>
      <c r="AE441" s="53" t="s">
        <v>453</v>
      </c>
      <c r="AF441" s="54" t="s">
        <v>157</v>
      </c>
      <c r="AG441" s="54"/>
      <c r="AH441" s="39" t="s">
        <v>70</v>
      </c>
      <c r="AI441" s="39" t="s">
        <v>52</v>
      </c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</row>
    <row r="442" spans="1:75" ht="17" x14ac:dyDescent="0.2">
      <c r="A442">
        <v>366</v>
      </c>
      <c r="B442">
        <v>163</v>
      </c>
      <c r="C442" t="s">
        <v>5060</v>
      </c>
      <c r="D442" s="39" t="s">
        <v>1172</v>
      </c>
      <c r="E442" s="39" t="s">
        <v>332</v>
      </c>
      <c r="F442" s="39" t="s">
        <v>35</v>
      </c>
      <c r="G442" s="39" t="s">
        <v>160</v>
      </c>
      <c r="H442" s="34"/>
      <c r="I442" s="39" t="s">
        <v>1173</v>
      </c>
      <c r="J442" s="39" t="s">
        <v>1174</v>
      </c>
      <c r="K442" t="s">
        <v>1175</v>
      </c>
      <c r="L442" s="49" t="s">
        <v>1176</v>
      </c>
      <c r="M442" s="6" t="s">
        <v>6050</v>
      </c>
      <c r="N442" t="s">
        <v>86</v>
      </c>
      <c r="O442" t="s">
        <v>49</v>
      </c>
      <c r="P442" s="35" t="s">
        <v>50</v>
      </c>
      <c r="Q442" t="s">
        <v>62</v>
      </c>
      <c r="R442" t="s">
        <v>263</v>
      </c>
      <c r="S442" s="6" t="s">
        <v>35</v>
      </c>
      <c r="T442" s="43" t="s">
        <v>528</v>
      </c>
      <c r="U442" s="43" t="s">
        <v>246</v>
      </c>
      <c r="V442" t="s">
        <v>49</v>
      </c>
      <c r="W442" s="57"/>
      <c r="X442" s="57"/>
      <c r="Y442" t="s">
        <v>50</v>
      </c>
      <c r="Z442" s="39"/>
      <c r="AA442" s="39"/>
      <c r="AB442" t="s">
        <v>62</v>
      </c>
      <c r="AC442" s="42">
        <v>41310</v>
      </c>
      <c r="AD442" s="42">
        <v>41890</v>
      </c>
      <c r="AE442" s="53" t="s">
        <v>955</v>
      </c>
      <c r="AF442" s="54" t="s">
        <v>35</v>
      </c>
      <c r="AG442" s="54"/>
      <c r="AH442" s="39" t="s">
        <v>52</v>
      </c>
      <c r="AI442" s="39" t="s">
        <v>70</v>
      </c>
    </row>
    <row r="443" spans="1:75" ht="17" x14ac:dyDescent="0.2">
      <c r="A443">
        <v>559</v>
      </c>
      <c r="B443">
        <v>207</v>
      </c>
      <c r="C443" t="s">
        <v>5789</v>
      </c>
      <c r="D443" s="39" t="s">
        <v>1406</v>
      </c>
      <c r="E443" s="39" t="s">
        <v>332</v>
      </c>
      <c r="F443" s="39" t="s">
        <v>35</v>
      </c>
      <c r="G443" s="39" t="s">
        <v>36</v>
      </c>
      <c r="I443" s="39" t="s">
        <v>1407</v>
      </c>
      <c r="J443" s="39" t="s">
        <v>1408</v>
      </c>
      <c r="K443" t="s">
        <v>1409</v>
      </c>
      <c r="L443" t="s">
        <v>1410</v>
      </c>
      <c r="M443" s="6" t="s">
        <v>6051</v>
      </c>
      <c r="N443" t="s">
        <v>131</v>
      </c>
      <c r="O443" t="s">
        <v>1411</v>
      </c>
      <c r="P443" s="35" t="s">
        <v>640</v>
      </c>
      <c r="Q443" t="s">
        <v>44</v>
      </c>
      <c r="R443" t="s">
        <v>1412</v>
      </c>
      <c r="S443" s="6" t="s">
        <v>6238</v>
      </c>
      <c r="T443" s="43" t="s">
        <v>213</v>
      </c>
      <c r="U443" s="43" t="s">
        <v>459</v>
      </c>
      <c r="V443" t="s">
        <v>639</v>
      </c>
      <c r="W443" s="57"/>
      <c r="X443" s="57"/>
      <c r="Y443" t="s">
        <v>640</v>
      </c>
      <c r="Z443" s="39"/>
      <c r="AA443" s="39"/>
      <c r="AB443" t="s">
        <v>479</v>
      </c>
      <c r="AC443" s="42">
        <v>44198</v>
      </c>
      <c r="AD443" s="42">
        <v>44933</v>
      </c>
      <c r="AE443" s="53" t="s">
        <v>239</v>
      </c>
      <c r="AF443" s="54" t="s">
        <v>35</v>
      </c>
      <c r="AG443" s="54"/>
      <c r="AH443" s="39" t="s">
        <v>70</v>
      </c>
      <c r="AI443" s="39" t="s">
        <v>52</v>
      </c>
    </row>
    <row r="444" spans="1:75" ht="17" x14ac:dyDescent="0.2">
      <c r="A444">
        <v>142</v>
      </c>
      <c r="B444">
        <v>229</v>
      </c>
      <c r="C444" t="s">
        <v>5064</v>
      </c>
      <c r="D444" s="39" t="s">
        <v>1541</v>
      </c>
      <c r="E444" s="39" t="s">
        <v>332</v>
      </c>
      <c r="F444" s="39" t="s">
        <v>35</v>
      </c>
      <c r="G444" s="39" t="s">
        <v>205</v>
      </c>
      <c r="I444" s="39" t="s">
        <v>1542</v>
      </c>
      <c r="J444" s="39" t="s">
        <v>35</v>
      </c>
      <c r="K444" t="s">
        <v>1543</v>
      </c>
      <c r="L444" t="s">
        <v>1544</v>
      </c>
      <c r="M444" s="6" t="s">
        <v>5262</v>
      </c>
      <c r="N444" s="36" t="s">
        <v>86</v>
      </c>
      <c r="O444" t="s">
        <v>49</v>
      </c>
      <c r="P444" s="35" t="s">
        <v>50</v>
      </c>
      <c r="Q444" t="s">
        <v>35</v>
      </c>
      <c r="R444" t="s">
        <v>803</v>
      </c>
      <c r="S444" s="6" t="s">
        <v>3489</v>
      </c>
      <c r="T444" s="43" t="s">
        <v>1545</v>
      </c>
      <c r="U444" s="43" t="s">
        <v>232</v>
      </c>
      <c r="V444" t="s">
        <v>49</v>
      </c>
      <c r="W444" s="57"/>
      <c r="X444" s="57"/>
      <c r="Y444" t="s">
        <v>50</v>
      </c>
      <c r="Z444" s="39"/>
      <c r="AA444" s="39"/>
      <c r="AB444" t="s">
        <v>62</v>
      </c>
      <c r="AC444" s="42">
        <v>36280</v>
      </c>
      <c r="AD444" s="42" t="s">
        <v>1546</v>
      </c>
      <c r="AE444" s="53" t="s">
        <v>51</v>
      </c>
      <c r="AF444" s="54" t="s">
        <v>35</v>
      </c>
      <c r="AG444" s="54"/>
      <c r="AH444" s="39" t="s">
        <v>52</v>
      </c>
      <c r="AI444" s="39" t="s">
        <v>52</v>
      </c>
    </row>
    <row r="445" spans="1:75" ht="17" x14ac:dyDescent="0.2">
      <c r="A445">
        <v>389</v>
      </c>
      <c r="B445">
        <v>231</v>
      </c>
      <c r="C445" t="s">
        <v>5070</v>
      </c>
      <c r="D445" s="39" t="s">
        <v>1552</v>
      </c>
      <c r="E445" s="39" t="s">
        <v>332</v>
      </c>
      <c r="F445" s="39" t="s">
        <v>35</v>
      </c>
      <c r="G445" s="39" t="s">
        <v>160</v>
      </c>
      <c r="I445" s="39" t="s">
        <v>1553</v>
      </c>
      <c r="J445" s="39" t="s">
        <v>35</v>
      </c>
      <c r="K445" t="s">
        <v>1554</v>
      </c>
      <c r="L445" t="s">
        <v>1555</v>
      </c>
      <c r="M445" s="6" t="s">
        <v>5091</v>
      </c>
      <c r="N445" t="s">
        <v>59</v>
      </c>
      <c r="O445" t="s">
        <v>42</v>
      </c>
      <c r="P445" s="35" t="s">
        <v>43</v>
      </c>
      <c r="Q445" t="s">
        <v>44</v>
      </c>
      <c r="R445" t="s">
        <v>611</v>
      </c>
      <c r="S445" s="6" t="s">
        <v>3704</v>
      </c>
      <c r="T445" s="43" t="s">
        <v>48</v>
      </c>
      <c r="U445" s="43" t="s">
        <v>494</v>
      </c>
      <c r="V445" t="s">
        <v>42</v>
      </c>
      <c r="W445" s="57"/>
      <c r="X445" s="57"/>
      <c r="Y445" t="s">
        <v>43</v>
      </c>
      <c r="Z445" s="39"/>
      <c r="AA445" s="39"/>
      <c r="AB445" t="s">
        <v>44</v>
      </c>
      <c r="AC445" s="42">
        <v>42023</v>
      </c>
      <c r="AD445" s="42">
        <v>42654</v>
      </c>
      <c r="AE445" s="53" t="s">
        <v>425</v>
      </c>
      <c r="AF445" s="54" t="s">
        <v>35</v>
      </c>
      <c r="AG445" s="54"/>
      <c r="AH445" s="39" t="s">
        <v>52</v>
      </c>
      <c r="AI445" s="39" t="s">
        <v>70</v>
      </c>
    </row>
    <row r="446" spans="1:75" ht="17" x14ac:dyDescent="0.2">
      <c r="A446">
        <v>28</v>
      </c>
      <c r="B446">
        <v>243</v>
      </c>
      <c r="C446" t="s">
        <v>5074</v>
      </c>
      <c r="D446" s="39" t="s">
        <v>1615</v>
      </c>
      <c r="E446" s="39" t="s">
        <v>332</v>
      </c>
      <c r="F446" s="39" t="s">
        <v>35</v>
      </c>
      <c r="G446" s="39" t="s">
        <v>194</v>
      </c>
      <c r="I446" s="39" t="s">
        <v>1616</v>
      </c>
      <c r="J446" s="39" t="s">
        <v>35</v>
      </c>
      <c r="K446" t="s">
        <v>1617</v>
      </c>
      <c r="L446" t="s">
        <v>1618</v>
      </c>
      <c r="M446" s="6" t="s">
        <v>6052</v>
      </c>
      <c r="N446" t="s">
        <v>86</v>
      </c>
      <c r="O446" t="s">
        <v>49</v>
      </c>
      <c r="P446" s="35" t="s">
        <v>50</v>
      </c>
      <c r="Q446" t="s">
        <v>100</v>
      </c>
      <c r="R446" t="s">
        <v>1619</v>
      </c>
      <c r="S446" s="6" t="s">
        <v>3706</v>
      </c>
      <c r="T446" s="43" t="s">
        <v>1620</v>
      </c>
      <c r="U446" s="43" t="s">
        <v>418</v>
      </c>
      <c r="V446" t="s">
        <v>49</v>
      </c>
      <c r="W446" s="57"/>
      <c r="X446" s="57"/>
      <c r="Y446" t="s">
        <v>50</v>
      </c>
      <c r="Z446" s="39"/>
      <c r="AA446" s="39"/>
      <c r="AB446" t="s">
        <v>44</v>
      </c>
      <c r="AC446" s="42">
        <v>33240</v>
      </c>
      <c r="AD446" s="42">
        <v>33602</v>
      </c>
      <c r="AE446" s="53" t="s">
        <v>425</v>
      </c>
      <c r="AF446" s="54" t="s">
        <v>35</v>
      </c>
      <c r="AG446" s="54"/>
      <c r="AH446" s="39" t="s">
        <v>52</v>
      </c>
      <c r="AI446" s="39" t="s">
        <v>70</v>
      </c>
    </row>
    <row r="447" spans="1:75" ht="17" x14ac:dyDescent="0.2">
      <c r="A447">
        <v>227</v>
      </c>
      <c r="B447">
        <v>278</v>
      </c>
      <c r="C447" t="s">
        <v>5078</v>
      </c>
      <c r="D447" s="39" t="s">
        <v>1771</v>
      </c>
      <c r="E447" s="39" t="s">
        <v>332</v>
      </c>
      <c r="F447" s="39" t="s">
        <v>35</v>
      </c>
      <c r="G447" s="39" t="s">
        <v>82</v>
      </c>
      <c r="H447" s="34"/>
      <c r="I447" s="39" t="s">
        <v>1772</v>
      </c>
      <c r="J447" s="39" t="s">
        <v>1773</v>
      </c>
      <c r="K447" t="s">
        <v>1774</v>
      </c>
      <c r="L447" t="s">
        <v>1775</v>
      </c>
      <c r="M447" s="6" t="s">
        <v>3936</v>
      </c>
      <c r="N447" t="s">
        <v>86</v>
      </c>
      <c r="O447" t="s">
        <v>1710</v>
      </c>
      <c r="P447" s="35" t="s">
        <v>50</v>
      </c>
      <c r="Q447" t="s">
        <v>35</v>
      </c>
      <c r="R447" t="s">
        <v>1776</v>
      </c>
      <c r="S447" s="6" t="s">
        <v>157</v>
      </c>
      <c r="T447" s="43" t="s">
        <v>308</v>
      </c>
      <c r="U447" s="43" t="s">
        <v>324</v>
      </c>
      <c r="V447" t="s">
        <v>1710</v>
      </c>
      <c r="W447" s="57"/>
      <c r="X447" s="57"/>
      <c r="Y447" t="s">
        <v>50</v>
      </c>
      <c r="Z447" s="39"/>
      <c r="AA447" s="39"/>
      <c r="AB447" t="s">
        <v>62</v>
      </c>
      <c r="AC447" s="42">
        <v>37797</v>
      </c>
      <c r="AD447" s="42">
        <v>38860</v>
      </c>
      <c r="AE447" s="53" t="s">
        <v>51</v>
      </c>
      <c r="AF447" s="54" t="s">
        <v>35</v>
      </c>
      <c r="AG447" s="54"/>
      <c r="AH447" s="39" t="s">
        <v>52</v>
      </c>
      <c r="AI447" s="39" t="s">
        <v>52</v>
      </c>
    </row>
    <row r="448" spans="1:75" ht="17" x14ac:dyDescent="0.2">
      <c r="B448">
        <v>399</v>
      </c>
      <c r="C448" t="s">
        <v>5087</v>
      </c>
      <c r="D448" s="39" t="s">
        <v>2404</v>
      </c>
      <c r="E448" s="39" t="s">
        <v>332</v>
      </c>
      <c r="F448" s="39" t="s">
        <v>35</v>
      </c>
      <c r="G448" s="39" t="s">
        <v>35</v>
      </c>
      <c r="H448" s="34"/>
      <c r="I448" s="39" t="s">
        <v>35</v>
      </c>
      <c r="J448" s="39" t="s">
        <v>35</v>
      </c>
      <c r="L448" t="s">
        <v>35</v>
      </c>
      <c r="M448" s="6" t="s">
        <v>3501</v>
      </c>
      <c r="P448" s="35"/>
      <c r="Q448" t="s">
        <v>35</v>
      </c>
      <c r="S448" s="6" t="s">
        <v>6239</v>
      </c>
      <c r="T448" s="43" t="s">
        <v>35</v>
      </c>
      <c r="U448" s="43" t="s">
        <v>35</v>
      </c>
      <c r="W448" s="57"/>
      <c r="X448" s="57"/>
      <c r="Z448" s="39"/>
      <c r="AA448" s="39"/>
      <c r="AB448" t="s">
        <v>35</v>
      </c>
      <c r="AD448" s="42" t="s">
        <v>35</v>
      </c>
      <c r="AE448" s="53" t="s">
        <v>51</v>
      </c>
      <c r="AF448" s="54" t="s">
        <v>35</v>
      </c>
      <c r="AG448" s="54"/>
      <c r="AH448" s="39" t="s">
        <v>52</v>
      </c>
      <c r="AI448" s="39" t="s">
        <v>52</v>
      </c>
    </row>
    <row r="449" spans="1:75" ht="17" x14ac:dyDescent="0.2">
      <c r="A449">
        <v>303</v>
      </c>
      <c r="B449">
        <v>422</v>
      </c>
      <c r="C449" t="s">
        <v>5089</v>
      </c>
      <c r="D449" s="39" t="s">
        <v>2513</v>
      </c>
      <c r="E449" s="39" t="s">
        <v>332</v>
      </c>
      <c r="F449" s="39" t="s">
        <v>35</v>
      </c>
      <c r="G449" s="39" t="s">
        <v>55</v>
      </c>
      <c r="I449" s="39" t="s">
        <v>2514</v>
      </c>
      <c r="J449" s="39" t="s">
        <v>2515</v>
      </c>
      <c r="K449" t="s">
        <v>2516</v>
      </c>
      <c r="L449" t="s">
        <v>2517</v>
      </c>
      <c r="M449" s="6" t="s">
        <v>6053</v>
      </c>
      <c r="N449" t="s">
        <v>86</v>
      </c>
      <c r="O449" t="s">
        <v>49</v>
      </c>
      <c r="P449" s="35" t="s">
        <v>50</v>
      </c>
      <c r="Q449" t="s">
        <v>44</v>
      </c>
      <c r="R449" t="s">
        <v>2518</v>
      </c>
      <c r="S449" s="6" t="s">
        <v>3501</v>
      </c>
      <c r="T449" s="43" t="s">
        <v>796</v>
      </c>
      <c r="U449" s="43" t="s">
        <v>2323</v>
      </c>
      <c r="V449" t="s">
        <v>42</v>
      </c>
      <c r="W449" s="57"/>
      <c r="X449" s="57"/>
      <c r="Y449" t="s">
        <v>43</v>
      </c>
      <c r="Z449" s="39"/>
      <c r="AA449" s="39"/>
      <c r="AB449" t="s">
        <v>44</v>
      </c>
      <c r="AC449" s="42">
        <v>39238</v>
      </c>
      <c r="AD449" s="42">
        <v>39882</v>
      </c>
      <c r="AE449" s="53" t="s">
        <v>51</v>
      </c>
      <c r="AF449" s="54" t="s">
        <v>35</v>
      </c>
      <c r="AG449" s="54"/>
      <c r="AH449" s="39" t="s">
        <v>52</v>
      </c>
      <c r="AI449" s="39" t="s">
        <v>52</v>
      </c>
    </row>
    <row r="450" spans="1:75" ht="17" x14ac:dyDescent="0.2">
      <c r="A450" t="s">
        <v>35</v>
      </c>
      <c r="B450">
        <v>426</v>
      </c>
      <c r="C450" t="s">
        <v>5813</v>
      </c>
      <c r="D450" s="39" t="s">
        <v>2529</v>
      </c>
      <c r="E450" s="39" t="s">
        <v>332</v>
      </c>
      <c r="F450" s="39" t="s">
        <v>2530</v>
      </c>
      <c r="G450" s="39" t="s">
        <v>36</v>
      </c>
      <c r="I450" s="39" t="s">
        <v>2531</v>
      </c>
      <c r="J450" s="39" t="s">
        <v>35</v>
      </c>
      <c r="K450" t="s">
        <v>2532</v>
      </c>
      <c r="L450" t="s">
        <v>748</v>
      </c>
      <c r="M450" s="6" t="s">
        <v>4053</v>
      </c>
      <c r="N450" t="s">
        <v>131</v>
      </c>
      <c r="O450" t="s">
        <v>749</v>
      </c>
      <c r="P450" s="35" t="s">
        <v>640</v>
      </c>
      <c r="Q450" t="s">
        <v>200</v>
      </c>
      <c r="R450" t="s">
        <v>551</v>
      </c>
      <c r="S450" s="6" t="s">
        <v>6240</v>
      </c>
      <c r="T450" s="43" t="s">
        <v>246</v>
      </c>
      <c r="U450" s="43" t="s">
        <v>246</v>
      </c>
      <c r="V450" t="s">
        <v>49</v>
      </c>
      <c r="W450" s="57"/>
      <c r="X450" s="57"/>
      <c r="Y450" t="s">
        <v>50</v>
      </c>
      <c r="Z450" s="39"/>
      <c r="AA450" s="39"/>
      <c r="AB450" t="s">
        <v>44</v>
      </c>
      <c r="AC450" s="42">
        <v>43832</v>
      </c>
      <c r="AD450" s="42">
        <v>44936</v>
      </c>
      <c r="AE450" s="53" t="s">
        <v>453</v>
      </c>
      <c r="AF450" s="54" t="s">
        <v>35</v>
      </c>
      <c r="AG450" s="54"/>
      <c r="AH450" s="39" t="s">
        <v>70</v>
      </c>
      <c r="AI450" s="39" t="s">
        <v>52</v>
      </c>
    </row>
    <row r="451" spans="1:75" ht="17" x14ac:dyDescent="0.2">
      <c r="A451">
        <v>371</v>
      </c>
      <c r="B451">
        <v>443</v>
      </c>
      <c r="C451" t="s">
        <v>5093</v>
      </c>
      <c r="D451" s="39" t="s">
        <v>2599</v>
      </c>
      <c r="E451" s="39" t="s">
        <v>332</v>
      </c>
      <c r="F451" s="39" t="s">
        <v>35</v>
      </c>
      <c r="G451" s="39" t="s">
        <v>160</v>
      </c>
      <c r="I451" s="39" t="s">
        <v>2600</v>
      </c>
      <c r="J451" s="39" t="s">
        <v>35</v>
      </c>
      <c r="K451" t="s">
        <v>2601</v>
      </c>
      <c r="L451" t="s">
        <v>2602</v>
      </c>
      <c r="M451" s="6" t="s">
        <v>64</v>
      </c>
      <c r="N451" t="s">
        <v>41</v>
      </c>
      <c r="O451" t="s">
        <v>42</v>
      </c>
      <c r="P451" s="35" t="s">
        <v>43</v>
      </c>
      <c r="Q451" t="s">
        <v>479</v>
      </c>
      <c r="R451" t="s">
        <v>2603</v>
      </c>
      <c r="S451" s="6" t="s">
        <v>5058</v>
      </c>
      <c r="T451" s="43" t="s">
        <v>896</v>
      </c>
      <c r="U451" s="43" t="s">
        <v>410</v>
      </c>
      <c r="W451" s="57"/>
      <c r="X451" s="57"/>
      <c r="Z451" s="39"/>
      <c r="AA451" s="39"/>
      <c r="AB451" t="s">
        <v>35</v>
      </c>
      <c r="AC451" s="42">
        <v>41310</v>
      </c>
      <c r="AD451" s="42">
        <v>41799</v>
      </c>
      <c r="AE451" s="53" t="s">
        <v>157</v>
      </c>
      <c r="AF451" s="54" t="s">
        <v>35</v>
      </c>
      <c r="AG451" s="54"/>
      <c r="AH451" s="39" t="s">
        <v>70</v>
      </c>
      <c r="AI451" s="39" t="s">
        <v>52</v>
      </c>
    </row>
    <row r="452" spans="1:75" ht="51" x14ac:dyDescent="0.2">
      <c r="A452">
        <v>118</v>
      </c>
      <c r="B452">
        <v>470</v>
      </c>
      <c r="C452" t="s">
        <v>5095</v>
      </c>
      <c r="D452" s="39" t="s">
        <v>2721</v>
      </c>
      <c r="E452" s="39" t="s">
        <v>332</v>
      </c>
      <c r="F452" s="39" t="s">
        <v>35</v>
      </c>
      <c r="G452" s="39" t="s">
        <v>205</v>
      </c>
      <c r="H452" s="34"/>
      <c r="I452" s="39" t="s">
        <v>2722</v>
      </c>
      <c r="J452" s="39" t="s">
        <v>35</v>
      </c>
      <c r="K452" t="s">
        <v>2723</v>
      </c>
      <c r="L452" t="s">
        <v>2724</v>
      </c>
      <c r="M452" s="6" t="s">
        <v>6054</v>
      </c>
      <c r="N452" t="s">
        <v>86</v>
      </c>
      <c r="O452" t="s">
        <v>49</v>
      </c>
      <c r="P452" s="35" t="s">
        <v>50</v>
      </c>
      <c r="Q452" t="s">
        <v>35</v>
      </c>
      <c r="R452" t="s">
        <v>2725</v>
      </c>
      <c r="S452" s="6" t="s">
        <v>5062</v>
      </c>
      <c r="T452" s="43" t="s">
        <v>114</v>
      </c>
      <c r="U452" s="43" t="s">
        <v>65</v>
      </c>
      <c r="V452" t="s">
        <v>523</v>
      </c>
      <c r="W452" s="57"/>
      <c r="X452" s="57"/>
      <c r="Y452" t="s">
        <v>50</v>
      </c>
      <c r="Z452" s="39"/>
      <c r="AA452" s="39"/>
      <c r="AB452" t="s">
        <v>62</v>
      </c>
      <c r="AC452" s="42">
        <v>35488</v>
      </c>
      <c r="AD452" s="42">
        <v>35674</v>
      </c>
      <c r="AE452" s="53" t="s">
        <v>51</v>
      </c>
      <c r="AF452" s="54" t="s">
        <v>35</v>
      </c>
      <c r="AG452" s="54"/>
      <c r="AH452" s="39" t="s">
        <v>52</v>
      </c>
      <c r="AI452" s="39" t="s">
        <v>52</v>
      </c>
    </row>
    <row r="453" spans="1:75" ht="17" x14ac:dyDescent="0.2">
      <c r="A453">
        <v>165</v>
      </c>
      <c r="B453">
        <v>484</v>
      </c>
      <c r="C453" t="s">
        <v>5096</v>
      </c>
      <c r="D453" s="39" t="s">
        <v>2781</v>
      </c>
      <c r="E453" s="39" t="s">
        <v>332</v>
      </c>
      <c r="F453" s="39" t="s">
        <v>35</v>
      </c>
      <c r="G453" s="39" t="s">
        <v>205</v>
      </c>
      <c r="H453" s="34"/>
      <c r="I453" s="39" t="s">
        <v>2782</v>
      </c>
      <c r="J453" s="39" t="s">
        <v>35</v>
      </c>
      <c r="K453" t="s">
        <v>2783</v>
      </c>
      <c r="L453" t="s">
        <v>2303</v>
      </c>
      <c r="M453" s="6" t="s">
        <v>4259</v>
      </c>
      <c r="N453" t="s">
        <v>86</v>
      </c>
      <c r="O453" t="s">
        <v>190</v>
      </c>
      <c r="P453" s="35" t="s">
        <v>191</v>
      </c>
      <c r="Q453" t="s">
        <v>76</v>
      </c>
      <c r="R453" t="s">
        <v>2784</v>
      </c>
      <c r="S453" s="6" t="s">
        <v>3970</v>
      </c>
      <c r="T453" s="43" t="s">
        <v>2243</v>
      </c>
      <c r="U453" s="43" t="s">
        <v>826</v>
      </c>
      <c r="V453" t="s">
        <v>190</v>
      </c>
      <c r="W453" s="57"/>
      <c r="X453" s="57"/>
      <c r="Y453" t="s">
        <v>191</v>
      </c>
      <c r="Z453" s="39"/>
      <c r="AA453" s="39"/>
      <c r="AB453" t="s">
        <v>76</v>
      </c>
      <c r="AC453" s="42">
        <v>36655</v>
      </c>
      <c r="AD453" s="42">
        <v>37649</v>
      </c>
      <c r="AE453" s="53" t="s">
        <v>453</v>
      </c>
      <c r="AF453" s="54" t="s">
        <v>35</v>
      </c>
      <c r="AG453" s="54"/>
      <c r="AH453" s="39" t="s">
        <v>70</v>
      </c>
      <c r="AI453" s="39" t="s">
        <v>52</v>
      </c>
    </row>
    <row r="454" spans="1:75" ht="17" x14ac:dyDescent="0.2">
      <c r="A454">
        <v>322</v>
      </c>
      <c r="B454">
        <v>498</v>
      </c>
      <c r="C454" t="s">
        <v>5101</v>
      </c>
      <c r="D454" s="39" t="s">
        <v>2844</v>
      </c>
      <c r="E454" s="39" t="s">
        <v>332</v>
      </c>
      <c r="F454" s="39" t="s">
        <v>35</v>
      </c>
      <c r="G454" s="39" t="s">
        <v>55</v>
      </c>
      <c r="I454" s="39" t="s">
        <v>2845</v>
      </c>
      <c r="J454" s="39" t="s">
        <v>35</v>
      </c>
      <c r="K454" t="s">
        <v>2846</v>
      </c>
      <c r="L454" t="s">
        <v>2847</v>
      </c>
      <c r="M454" s="6" t="s">
        <v>6055</v>
      </c>
      <c r="N454" t="s">
        <v>41</v>
      </c>
      <c r="O454" t="s">
        <v>42</v>
      </c>
      <c r="P454" s="35" t="s">
        <v>43</v>
      </c>
      <c r="Q454" t="s">
        <v>115</v>
      </c>
      <c r="R454" t="s">
        <v>2848</v>
      </c>
      <c r="S454" s="6" t="s">
        <v>5069</v>
      </c>
      <c r="T454" s="43" t="s">
        <v>817</v>
      </c>
      <c r="U454" s="43" t="s">
        <v>1132</v>
      </c>
      <c r="V454" t="s">
        <v>42</v>
      </c>
      <c r="W454" s="57"/>
      <c r="X454" s="57"/>
      <c r="Y454" t="s">
        <v>43</v>
      </c>
      <c r="Z454" s="39"/>
      <c r="AA454" s="39"/>
      <c r="AB454" t="s">
        <v>115</v>
      </c>
      <c r="AC454" s="42">
        <v>39882</v>
      </c>
      <c r="AD454" s="42">
        <v>41195</v>
      </c>
      <c r="AE454" s="53" t="s">
        <v>453</v>
      </c>
      <c r="AF454" s="54" t="s">
        <v>35</v>
      </c>
      <c r="AG454" s="54"/>
      <c r="AH454" s="39" t="s">
        <v>70</v>
      </c>
      <c r="AI454" s="39" t="s">
        <v>52</v>
      </c>
    </row>
    <row r="455" spans="1:75" ht="17" x14ac:dyDescent="0.2">
      <c r="A455">
        <v>168</v>
      </c>
      <c r="B455">
        <v>516</v>
      </c>
      <c r="C455" t="s">
        <v>5105</v>
      </c>
      <c r="D455" s="39" t="s">
        <v>2934</v>
      </c>
      <c r="E455" s="39" t="s">
        <v>332</v>
      </c>
      <c r="F455" s="39" t="s">
        <v>35</v>
      </c>
      <c r="G455" s="39" t="s">
        <v>205</v>
      </c>
      <c r="I455" s="39" t="s">
        <v>2935</v>
      </c>
      <c r="J455" s="39" t="s">
        <v>35</v>
      </c>
      <c r="K455" t="s">
        <v>2936</v>
      </c>
      <c r="L455" t="s">
        <v>2937</v>
      </c>
      <c r="M455" s="6" t="s">
        <v>4495</v>
      </c>
      <c r="N455" t="s">
        <v>59</v>
      </c>
      <c r="O455" t="s">
        <v>401</v>
      </c>
      <c r="P455" s="35" t="s">
        <v>50</v>
      </c>
      <c r="Q455" t="s">
        <v>44</v>
      </c>
      <c r="R455" t="s">
        <v>2938</v>
      </c>
      <c r="S455" s="6" t="s">
        <v>3936</v>
      </c>
      <c r="T455" s="43" t="s">
        <v>1694</v>
      </c>
      <c r="U455" s="43" t="s">
        <v>788</v>
      </c>
      <c r="V455" t="s">
        <v>2939</v>
      </c>
      <c r="W455" s="57"/>
      <c r="X455" s="57"/>
      <c r="Y455" t="s">
        <v>50</v>
      </c>
      <c r="Z455" s="39"/>
      <c r="AA455" s="39"/>
      <c r="AB455" t="s">
        <v>44</v>
      </c>
      <c r="AC455" s="42">
        <v>36655</v>
      </c>
      <c r="AD455" s="42">
        <v>37649</v>
      </c>
      <c r="AE455" s="53" t="s">
        <v>51</v>
      </c>
      <c r="AF455" s="54" t="s">
        <v>35</v>
      </c>
      <c r="AG455" s="54"/>
      <c r="AH455" s="39" t="s">
        <v>52</v>
      </c>
      <c r="AI455" s="39" t="s">
        <v>52</v>
      </c>
    </row>
    <row r="456" spans="1:75" ht="17" x14ac:dyDescent="0.2">
      <c r="A456">
        <v>352</v>
      </c>
      <c r="B456">
        <v>501</v>
      </c>
      <c r="C456" t="s">
        <v>5110</v>
      </c>
      <c r="D456" s="39" t="s">
        <v>2862</v>
      </c>
      <c r="E456" s="39" t="s">
        <v>2863</v>
      </c>
      <c r="F456" s="39" t="s">
        <v>35</v>
      </c>
      <c r="G456" s="39" t="s">
        <v>160</v>
      </c>
      <c r="H456" s="34"/>
      <c r="I456" s="39" t="s">
        <v>2864</v>
      </c>
      <c r="J456" s="39" t="s">
        <v>35</v>
      </c>
      <c r="K456" t="s">
        <v>2865</v>
      </c>
      <c r="L456" t="s">
        <v>58</v>
      </c>
      <c r="M456" s="6" t="s">
        <v>3517</v>
      </c>
      <c r="N456" t="s">
        <v>86</v>
      </c>
      <c r="O456" t="s">
        <v>49</v>
      </c>
      <c r="P456" s="35" t="s">
        <v>50</v>
      </c>
      <c r="Q456" t="s">
        <v>62</v>
      </c>
      <c r="R456" t="s">
        <v>58</v>
      </c>
      <c r="S456" s="6" t="s">
        <v>5077</v>
      </c>
      <c r="T456" s="43" t="s">
        <v>2866</v>
      </c>
      <c r="U456" s="43" t="s">
        <v>2867</v>
      </c>
      <c r="V456" t="s">
        <v>49</v>
      </c>
      <c r="W456" s="57"/>
      <c r="X456" s="57"/>
      <c r="Y456" t="s">
        <v>50</v>
      </c>
      <c r="Z456" s="39"/>
      <c r="AA456" s="39"/>
      <c r="AB456" t="s">
        <v>62</v>
      </c>
      <c r="AC456" s="42">
        <v>40567</v>
      </c>
      <c r="AD456" s="42">
        <v>41596</v>
      </c>
      <c r="AE456" s="53" t="s">
        <v>239</v>
      </c>
      <c r="AF456" s="54" t="s">
        <v>35</v>
      </c>
      <c r="AG456" s="54"/>
      <c r="AH456" s="39" t="s">
        <v>70</v>
      </c>
      <c r="AI456" s="39" t="s">
        <v>52</v>
      </c>
    </row>
    <row r="457" spans="1:75" ht="17" x14ac:dyDescent="0.2">
      <c r="A457">
        <v>391</v>
      </c>
      <c r="B457">
        <v>525</v>
      </c>
      <c r="C457" t="s">
        <v>5113</v>
      </c>
      <c r="D457" s="39" t="s">
        <v>2981</v>
      </c>
      <c r="E457" s="39" t="s">
        <v>2863</v>
      </c>
      <c r="F457" s="39" t="s">
        <v>35</v>
      </c>
      <c r="G457" s="39" t="s">
        <v>205</v>
      </c>
      <c r="I457" s="39" t="s">
        <v>2982</v>
      </c>
      <c r="J457" s="39" t="s">
        <v>2983</v>
      </c>
      <c r="K457" t="s">
        <v>2984</v>
      </c>
      <c r="L457" t="s">
        <v>171</v>
      </c>
      <c r="M457" s="6" t="s">
        <v>6056</v>
      </c>
      <c r="N457" t="s">
        <v>59</v>
      </c>
      <c r="O457" t="s">
        <v>2985</v>
      </c>
      <c r="P457" s="35" t="s">
        <v>50</v>
      </c>
      <c r="Q457" t="s">
        <v>62</v>
      </c>
      <c r="R457" t="s">
        <v>2986</v>
      </c>
      <c r="S457" s="6" t="s">
        <v>6241</v>
      </c>
      <c r="T457" s="43" t="s">
        <v>103</v>
      </c>
      <c r="U457" s="43" t="s">
        <v>324</v>
      </c>
      <c r="V457" t="s">
        <v>49</v>
      </c>
      <c r="W457" s="57"/>
      <c r="X457" s="57"/>
      <c r="Y457" t="s">
        <v>50</v>
      </c>
      <c r="Z457" s="39"/>
      <c r="AA457" s="39"/>
      <c r="AB457" t="s">
        <v>62</v>
      </c>
      <c r="AC457" s="42">
        <v>42023</v>
      </c>
      <c r="AD457" s="42">
        <v>42767</v>
      </c>
      <c r="AE457" s="53" t="s">
        <v>239</v>
      </c>
      <c r="AF457" s="54" t="s">
        <v>35</v>
      </c>
      <c r="AG457" s="54"/>
      <c r="AH457" s="39" t="s">
        <v>70</v>
      </c>
      <c r="AI457" s="39" t="s">
        <v>52</v>
      </c>
    </row>
    <row r="458" spans="1:75" s="5" customFormat="1" ht="17" x14ac:dyDescent="0.2">
      <c r="A458">
        <v>210</v>
      </c>
      <c r="B458">
        <v>146</v>
      </c>
      <c r="C458" t="s">
        <v>5120</v>
      </c>
      <c r="D458" s="39" t="s">
        <v>1079</v>
      </c>
      <c r="E458" s="39" t="s">
        <v>1080</v>
      </c>
      <c r="F458" s="39" t="s">
        <v>35</v>
      </c>
      <c r="G458" s="39" t="s">
        <v>82</v>
      </c>
      <c r="H458"/>
      <c r="I458" s="39" t="s">
        <v>1081</v>
      </c>
      <c r="J458" s="39" t="s">
        <v>35</v>
      </c>
      <c r="K458" t="s">
        <v>1082</v>
      </c>
      <c r="L458" s="49" t="s">
        <v>1083</v>
      </c>
      <c r="M458" s="6" t="s">
        <v>35</v>
      </c>
      <c r="N458" t="s">
        <v>86</v>
      </c>
      <c r="O458" t="s">
        <v>1084</v>
      </c>
      <c r="P458" s="35" t="s">
        <v>99</v>
      </c>
      <c r="Q458" t="s">
        <v>115</v>
      </c>
      <c r="R458" t="s">
        <v>1085</v>
      </c>
      <c r="S458" s="6" t="s">
        <v>35</v>
      </c>
      <c r="T458" s="43" t="s">
        <v>154</v>
      </c>
      <c r="U458" s="43" t="s">
        <v>1086</v>
      </c>
      <c r="V458" t="s">
        <v>1084</v>
      </c>
      <c r="W458" s="57"/>
      <c r="X458" s="57"/>
      <c r="Y458" t="s">
        <v>99</v>
      </c>
      <c r="Z458" s="39"/>
      <c r="AA458" s="39"/>
      <c r="AB458" t="s">
        <v>180</v>
      </c>
      <c r="AC458" s="42">
        <v>37387</v>
      </c>
      <c r="AD458" s="42">
        <v>38007</v>
      </c>
      <c r="AE458" s="53" t="s">
        <v>51</v>
      </c>
      <c r="AF458" s="54" t="s">
        <v>35</v>
      </c>
      <c r="AG458" s="54"/>
      <c r="AH458" s="39" t="s">
        <v>52</v>
      </c>
      <c r="AI458" s="39" t="s">
        <v>52</v>
      </c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</row>
    <row r="459" spans="1:75" ht="17" x14ac:dyDescent="0.2">
      <c r="A459">
        <v>81</v>
      </c>
      <c r="B459">
        <v>215</v>
      </c>
      <c r="C459" t="s">
        <v>5126</v>
      </c>
      <c r="D459" s="39" t="s">
        <v>1457</v>
      </c>
      <c r="E459" s="39" t="s">
        <v>1458</v>
      </c>
      <c r="F459" s="39" t="s">
        <v>35</v>
      </c>
      <c r="G459" s="39" t="s">
        <v>194</v>
      </c>
      <c r="I459" s="39" t="s">
        <v>1459</v>
      </c>
      <c r="J459" s="39" t="s">
        <v>35</v>
      </c>
      <c r="K459" t="s">
        <v>1460</v>
      </c>
      <c r="L459" t="s">
        <v>1461</v>
      </c>
      <c r="M459" s="6" t="s">
        <v>3493</v>
      </c>
      <c r="N459" t="s">
        <v>86</v>
      </c>
      <c r="O459" t="s">
        <v>49</v>
      </c>
      <c r="P459" s="35" t="s">
        <v>50</v>
      </c>
      <c r="Q459" t="s">
        <v>44</v>
      </c>
      <c r="R459" t="s">
        <v>1462</v>
      </c>
      <c r="S459" s="6" t="s">
        <v>5091</v>
      </c>
      <c r="T459" s="43" t="s">
        <v>1450</v>
      </c>
      <c r="U459" s="43" t="s">
        <v>324</v>
      </c>
      <c r="V459" t="s">
        <v>42</v>
      </c>
      <c r="W459" s="57"/>
      <c r="X459" s="57"/>
      <c r="Y459" t="s">
        <v>43</v>
      </c>
      <c r="Z459" s="39"/>
      <c r="AA459" s="39"/>
      <c r="AB459" t="s">
        <v>44</v>
      </c>
      <c r="AC459" s="42">
        <v>33865</v>
      </c>
      <c r="AD459" s="42">
        <v>34633</v>
      </c>
      <c r="AE459" s="53" t="s">
        <v>116</v>
      </c>
      <c r="AF459" s="54" t="s">
        <v>35</v>
      </c>
      <c r="AG459" s="54"/>
      <c r="AH459" s="39" t="s">
        <v>70</v>
      </c>
      <c r="AI459" s="39" t="s">
        <v>52</v>
      </c>
    </row>
    <row r="460" spans="1:75" ht="17" x14ac:dyDescent="0.2">
      <c r="A460">
        <v>36</v>
      </c>
      <c r="B460">
        <v>312</v>
      </c>
      <c r="C460" t="s">
        <v>5130</v>
      </c>
      <c r="D460" s="39" t="s">
        <v>1956</v>
      </c>
      <c r="E460" s="39" t="s">
        <v>1458</v>
      </c>
      <c r="F460" s="39" t="s">
        <v>35</v>
      </c>
      <c r="G460" s="39" t="s">
        <v>194</v>
      </c>
      <c r="H460" s="34"/>
      <c r="I460" s="39" t="s">
        <v>1957</v>
      </c>
      <c r="J460" s="39" t="s">
        <v>35</v>
      </c>
      <c r="K460" t="s">
        <v>1958</v>
      </c>
      <c r="L460" t="s">
        <v>1959</v>
      </c>
      <c r="M460" s="6" t="s">
        <v>6057</v>
      </c>
      <c r="N460" t="s">
        <v>59</v>
      </c>
      <c r="O460" t="s">
        <v>49</v>
      </c>
      <c r="P460" s="35" t="s">
        <v>50</v>
      </c>
      <c r="Q460" t="s">
        <v>44</v>
      </c>
      <c r="R460" t="s">
        <v>1960</v>
      </c>
      <c r="S460" s="6" t="s">
        <v>5094</v>
      </c>
      <c r="T460" s="43" t="s">
        <v>1961</v>
      </c>
      <c r="U460" s="43" t="s">
        <v>1962</v>
      </c>
      <c r="W460" s="57"/>
      <c r="X460" s="57"/>
      <c r="Z460" s="39"/>
      <c r="AA460" s="39"/>
      <c r="AB460" t="s">
        <v>62</v>
      </c>
      <c r="AC460" s="42">
        <v>33240</v>
      </c>
      <c r="AD460" s="42">
        <v>34233</v>
      </c>
      <c r="AE460" s="53" t="s">
        <v>51</v>
      </c>
      <c r="AF460" s="54" t="s">
        <v>35</v>
      </c>
      <c r="AG460" s="54"/>
      <c r="AH460" s="39" t="s">
        <v>52</v>
      </c>
      <c r="AI460" s="39" t="s">
        <v>52</v>
      </c>
    </row>
    <row r="461" spans="1:75" ht="17" x14ac:dyDescent="0.2">
      <c r="A461">
        <v>55</v>
      </c>
      <c r="B461">
        <v>596</v>
      </c>
      <c r="C461" t="s">
        <v>5136</v>
      </c>
      <c r="D461" s="39" t="s">
        <v>3327</v>
      </c>
      <c r="E461" s="39" t="s">
        <v>1458</v>
      </c>
      <c r="F461" s="39" t="s">
        <v>35</v>
      </c>
      <c r="G461" s="39" t="s">
        <v>194</v>
      </c>
      <c r="H461" s="34"/>
      <c r="I461" s="39" t="s">
        <v>3328</v>
      </c>
      <c r="J461" s="39" t="s">
        <v>35</v>
      </c>
      <c r="K461" t="s">
        <v>3329</v>
      </c>
      <c r="M461" s="6" t="s">
        <v>345</v>
      </c>
      <c r="N461" t="s">
        <v>59</v>
      </c>
      <c r="O461" t="s">
        <v>49</v>
      </c>
      <c r="P461" s="35" t="s">
        <v>50</v>
      </c>
      <c r="Q461" t="s">
        <v>62</v>
      </c>
      <c r="R461" t="s">
        <v>3330</v>
      </c>
      <c r="S461" s="6" t="s">
        <v>3489</v>
      </c>
      <c r="T461" s="43" t="s">
        <v>35</v>
      </c>
      <c r="U461" s="43" t="s">
        <v>35</v>
      </c>
      <c r="W461" s="57"/>
      <c r="X461" s="57"/>
      <c r="Z461" s="39"/>
      <c r="AA461" s="39"/>
      <c r="AB461" t="s">
        <v>35</v>
      </c>
      <c r="AC461" s="42">
        <v>33240</v>
      </c>
      <c r="AD461" s="42">
        <v>34233</v>
      </c>
      <c r="AE461" s="53" t="s">
        <v>51</v>
      </c>
      <c r="AF461" s="54" t="s">
        <v>35</v>
      </c>
      <c r="AG461" s="54"/>
      <c r="AH461" s="39" t="s">
        <v>52</v>
      </c>
      <c r="AI461" s="39" t="s">
        <v>52</v>
      </c>
    </row>
    <row r="462" spans="1:75" ht="17" x14ac:dyDescent="0.2">
      <c r="A462">
        <v>390</v>
      </c>
      <c r="B462">
        <v>408</v>
      </c>
      <c r="C462" t="s">
        <v>5138</v>
      </c>
      <c r="D462" s="39" t="s">
        <v>2444</v>
      </c>
      <c r="E462" s="39" t="s">
        <v>2445</v>
      </c>
      <c r="F462" s="39" t="s">
        <v>35</v>
      </c>
      <c r="G462" s="39" t="s">
        <v>160</v>
      </c>
      <c r="H462" s="34"/>
      <c r="I462" s="39" t="s">
        <v>2446</v>
      </c>
      <c r="J462" s="39" t="s">
        <v>35</v>
      </c>
      <c r="K462" t="s">
        <v>2447</v>
      </c>
      <c r="L462" t="s">
        <v>1927</v>
      </c>
      <c r="M462" s="6" t="s">
        <v>3589</v>
      </c>
      <c r="N462" t="s">
        <v>86</v>
      </c>
      <c r="O462" t="s">
        <v>621</v>
      </c>
      <c r="P462" s="35" t="s">
        <v>622</v>
      </c>
      <c r="Q462" t="s">
        <v>980</v>
      </c>
      <c r="R462" t="s">
        <v>2448</v>
      </c>
      <c r="S462" s="6" t="s">
        <v>5099</v>
      </c>
      <c r="T462" s="43" t="s">
        <v>224</v>
      </c>
      <c r="U462" s="43" t="s">
        <v>213</v>
      </c>
      <c r="V462" t="s">
        <v>2449</v>
      </c>
      <c r="W462" s="57"/>
      <c r="X462" s="57"/>
      <c r="Y462" t="s">
        <v>99</v>
      </c>
      <c r="Z462" s="39"/>
      <c r="AA462" s="39"/>
      <c r="AB462" t="s">
        <v>35</v>
      </c>
      <c r="AC462" s="42">
        <v>42023</v>
      </c>
      <c r="AD462" s="42">
        <v>42289</v>
      </c>
      <c r="AE462" s="53" t="s">
        <v>51</v>
      </c>
      <c r="AF462" s="54" t="s">
        <v>35</v>
      </c>
      <c r="AG462" s="54"/>
      <c r="AH462" s="39" t="s">
        <v>52</v>
      </c>
      <c r="AI462" s="39" t="s">
        <v>52</v>
      </c>
    </row>
    <row r="463" spans="1:75" ht="17" x14ac:dyDescent="0.2">
      <c r="A463">
        <v>562</v>
      </c>
      <c r="B463">
        <v>505</v>
      </c>
      <c r="C463" t="s">
        <v>5143</v>
      </c>
      <c r="D463" s="39" t="s">
        <v>2880</v>
      </c>
      <c r="E463" s="39" t="s">
        <v>2881</v>
      </c>
      <c r="F463" s="39" t="s">
        <v>35</v>
      </c>
      <c r="G463" s="39" t="s">
        <v>259</v>
      </c>
      <c r="I463" s="39" t="s">
        <v>35</v>
      </c>
      <c r="J463" s="39" t="s">
        <v>35</v>
      </c>
      <c r="K463" t="s">
        <v>2882</v>
      </c>
      <c r="L463" t="s">
        <v>2883</v>
      </c>
      <c r="M463" s="6" t="s">
        <v>6058</v>
      </c>
      <c r="N463" t="s">
        <v>131</v>
      </c>
      <c r="O463" t="s">
        <v>123</v>
      </c>
      <c r="P463" s="35" t="s">
        <v>99</v>
      </c>
      <c r="Q463" t="s">
        <v>115</v>
      </c>
      <c r="R463" t="s">
        <v>1044</v>
      </c>
      <c r="S463" s="6" t="s">
        <v>5103</v>
      </c>
      <c r="T463" s="43" t="s">
        <v>103</v>
      </c>
      <c r="U463" s="43" t="s">
        <v>2215</v>
      </c>
      <c r="W463" s="57"/>
      <c r="X463" s="57"/>
      <c r="Z463" s="39"/>
      <c r="AA463" s="39"/>
      <c r="AB463" t="s">
        <v>62</v>
      </c>
      <c r="AC463" s="42">
        <v>44198</v>
      </c>
      <c r="AD463" s="42" t="s">
        <v>2884</v>
      </c>
      <c r="AE463" s="53" t="s">
        <v>51</v>
      </c>
      <c r="AF463" s="54" t="s">
        <v>35</v>
      </c>
      <c r="AG463" s="54"/>
      <c r="AH463" s="39" t="s">
        <v>52</v>
      </c>
      <c r="AI463" s="39" t="s">
        <v>52</v>
      </c>
    </row>
    <row r="464" spans="1:75" ht="17" x14ac:dyDescent="0.2">
      <c r="A464">
        <v>516</v>
      </c>
      <c r="B464">
        <v>432</v>
      </c>
      <c r="C464" t="s">
        <v>5148</v>
      </c>
      <c r="D464" s="39" t="s">
        <v>2555</v>
      </c>
      <c r="E464" s="39" t="s">
        <v>2556</v>
      </c>
      <c r="F464" s="39" t="s">
        <v>35</v>
      </c>
      <c r="G464" s="39" t="s">
        <v>36</v>
      </c>
      <c r="I464" s="39" t="s">
        <v>2557</v>
      </c>
      <c r="J464" s="39" t="s">
        <v>35</v>
      </c>
      <c r="K464" t="s">
        <v>2558</v>
      </c>
      <c r="L464" t="s">
        <v>631</v>
      </c>
      <c r="M464" s="6" t="s">
        <v>6006</v>
      </c>
      <c r="N464" t="s">
        <v>97</v>
      </c>
      <c r="O464" t="s">
        <v>49</v>
      </c>
      <c r="P464" s="35" t="s">
        <v>50</v>
      </c>
      <c r="Q464" t="s">
        <v>62</v>
      </c>
      <c r="R464" t="s">
        <v>58</v>
      </c>
      <c r="S464" s="6" t="s">
        <v>6006</v>
      </c>
      <c r="T464" s="43" t="s">
        <v>1139</v>
      </c>
      <c r="U464" s="43" t="s">
        <v>155</v>
      </c>
      <c r="V464" t="s">
        <v>49</v>
      </c>
      <c r="W464" s="57"/>
      <c r="X464" s="57"/>
      <c r="Y464" t="s">
        <v>50</v>
      </c>
      <c r="Z464" s="39"/>
      <c r="AA464" s="39"/>
      <c r="AB464" t="s">
        <v>62</v>
      </c>
      <c r="AC464" s="42">
        <v>43732</v>
      </c>
      <c r="AD464" s="42" t="s">
        <v>2559</v>
      </c>
      <c r="AE464" s="53" t="s">
        <v>51</v>
      </c>
      <c r="AF464" s="54" t="s">
        <v>35</v>
      </c>
      <c r="AG464" s="54"/>
      <c r="AH464" s="39" t="s">
        <v>52</v>
      </c>
      <c r="AI464" s="39" t="s">
        <v>52</v>
      </c>
    </row>
    <row r="465" spans="1:35" ht="17" x14ac:dyDescent="0.2">
      <c r="A465">
        <v>40</v>
      </c>
      <c r="B465">
        <v>360</v>
      </c>
      <c r="C465" t="s">
        <v>5151</v>
      </c>
      <c r="D465" s="39" t="s">
        <v>2202</v>
      </c>
      <c r="E465" s="39" t="s">
        <v>2203</v>
      </c>
      <c r="F465" s="39" t="s">
        <v>35</v>
      </c>
      <c r="G465" s="39" t="s">
        <v>139</v>
      </c>
      <c r="I465" s="39" t="s">
        <v>2204</v>
      </c>
      <c r="J465" s="39" t="s">
        <v>35</v>
      </c>
      <c r="K465" t="s">
        <v>2205</v>
      </c>
      <c r="L465" t="s">
        <v>2206</v>
      </c>
      <c r="M465" s="6" t="s">
        <v>6059</v>
      </c>
      <c r="N465" t="s">
        <v>86</v>
      </c>
      <c r="O465" t="s">
        <v>49</v>
      </c>
      <c r="P465" s="35" t="s">
        <v>50</v>
      </c>
      <c r="Q465" t="s">
        <v>44</v>
      </c>
      <c r="R465" t="s">
        <v>2207</v>
      </c>
      <c r="S465" s="6" t="s">
        <v>3555</v>
      </c>
      <c r="T465" s="43" t="s">
        <v>1620</v>
      </c>
      <c r="U465" s="43" t="s">
        <v>289</v>
      </c>
      <c r="V465" t="s">
        <v>49</v>
      </c>
      <c r="W465" s="57"/>
      <c r="X465" s="57"/>
      <c r="Y465" t="s">
        <v>50</v>
      </c>
      <c r="Z465" s="39"/>
      <c r="AA465" s="39"/>
      <c r="AB465" t="s">
        <v>44</v>
      </c>
      <c r="AC465" s="42">
        <v>33240</v>
      </c>
      <c r="AD465" s="42">
        <v>34236</v>
      </c>
      <c r="AE465" s="53" t="s">
        <v>116</v>
      </c>
      <c r="AF465" s="54" t="s">
        <v>35</v>
      </c>
      <c r="AG465" s="54"/>
      <c r="AH465" s="39" t="s">
        <v>70</v>
      </c>
      <c r="AI465" s="39" t="s">
        <v>52</v>
      </c>
    </row>
    <row r="466" spans="1:35" ht="17" x14ac:dyDescent="0.2">
      <c r="A466">
        <v>184</v>
      </c>
      <c r="B466">
        <v>39</v>
      </c>
      <c r="C466" t="s">
        <v>5159</v>
      </c>
      <c r="D466" s="39" t="s">
        <v>372</v>
      </c>
      <c r="E466" s="39" t="s">
        <v>373</v>
      </c>
      <c r="F466" s="39" t="s">
        <v>35</v>
      </c>
      <c r="G466" s="39" t="s">
        <v>82</v>
      </c>
      <c r="H466" s="34"/>
      <c r="I466" s="39" t="s">
        <v>374</v>
      </c>
      <c r="J466" s="39" t="s">
        <v>35</v>
      </c>
      <c r="K466" t="s">
        <v>375</v>
      </c>
      <c r="L466" t="s">
        <v>39</v>
      </c>
      <c r="M466" s="6" t="s">
        <v>64</v>
      </c>
      <c r="N466" t="s">
        <v>86</v>
      </c>
      <c r="O466" t="s">
        <v>42</v>
      </c>
      <c r="P466" s="35" t="s">
        <v>43</v>
      </c>
      <c r="Q466" t="s">
        <v>44</v>
      </c>
      <c r="R466" t="s">
        <v>188</v>
      </c>
      <c r="S466" s="6" t="s">
        <v>6242</v>
      </c>
      <c r="T466" s="43" t="s">
        <v>376</v>
      </c>
      <c r="U466" s="43" t="s">
        <v>377</v>
      </c>
      <c r="V466" t="s">
        <v>42</v>
      </c>
      <c r="W466" s="57"/>
      <c r="X466" s="57"/>
      <c r="Y466" t="s">
        <v>43</v>
      </c>
      <c r="Z466" s="39"/>
      <c r="AA466" s="39"/>
      <c r="AB466" t="s">
        <v>44</v>
      </c>
      <c r="AC466" s="42">
        <v>37013</v>
      </c>
      <c r="AD466" s="42">
        <v>37797</v>
      </c>
      <c r="AE466" s="53" t="s">
        <v>68</v>
      </c>
      <c r="AF466" s="54" t="s">
        <v>35</v>
      </c>
      <c r="AG466" s="54"/>
      <c r="AH466" s="39" t="s">
        <v>70</v>
      </c>
      <c r="AI466" s="39" t="s">
        <v>52</v>
      </c>
    </row>
    <row r="467" spans="1:35" ht="17" x14ac:dyDescent="0.2">
      <c r="A467">
        <v>279</v>
      </c>
      <c r="B467">
        <v>69</v>
      </c>
      <c r="C467" t="s">
        <v>5164</v>
      </c>
      <c r="D467" s="39" t="s">
        <v>574</v>
      </c>
      <c r="E467" s="39" t="s">
        <v>373</v>
      </c>
      <c r="F467" s="39" t="s">
        <v>35</v>
      </c>
      <c r="G467" s="39" t="s">
        <v>55</v>
      </c>
      <c r="I467" s="39" t="s">
        <v>575</v>
      </c>
      <c r="J467" s="39" t="s">
        <v>35</v>
      </c>
      <c r="K467" t="s">
        <v>576</v>
      </c>
      <c r="L467" s="49" t="s">
        <v>577</v>
      </c>
      <c r="M467" s="6" t="s">
        <v>4927</v>
      </c>
      <c r="N467" t="s">
        <v>86</v>
      </c>
      <c r="O467" t="s">
        <v>123</v>
      </c>
      <c r="P467" s="35" t="s">
        <v>99</v>
      </c>
      <c r="Q467" t="s">
        <v>44</v>
      </c>
      <c r="R467" t="s">
        <v>578</v>
      </c>
      <c r="S467" s="6" t="s">
        <v>3589</v>
      </c>
      <c r="T467" s="43" t="s">
        <v>300</v>
      </c>
      <c r="U467" s="43" t="s">
        <v>579</v>
      </c>
      <c r="V467" t="s">
        <v>580</v>
      </c>
      <c r="W467" s="57"/>
      <c r="X467" s="57"/>
      <c r="Y467" t="s">
        <v>191</v>
      </c>
      <c r="Z467" s="39"/>
      <c r="AA467" s="39"/>
      <c r="AB467" t="s">
        <v>479</v>
      </c>
      <c r="AC467" s="42">
        <v>38860</v>
      </c>
      <c r="AD467" s="42">
        <v>39882</v>
      </c>
      <c r="AE467" s="53" t="s">
        <v>239</v>
      </c>
      <c r="AF467" s="54" t="s">
        <v>35</v>
      </c>
      <c r="AG467" s="54"/>
      <c r="AH467" s="39" t="s">
        <v>70</v>
      </c>
      <c r="AI467" s="39" t="s">
        <v>52</v>
      </c>
    </row>
    <row r="468" spans="1:35" ht="17" x14ac:dyDescent="0.2">
      <c r="A468">
        <v>556</v>
      </c>
      <c r="B468">
        <v>97</v>
      </c>
      <c r="C468" t="s">
        <v>5774</v>
      </c>
      <c r="D468" s="39" t="s">
        <v>758</v>
      </c>
      <c r="E468" s="39" t="s">
        <v>373</v>
      </c>
      <c r="F468" s="39" t="s">
        <v>35</v>
      </c>
      <c r="G468" s="39" t="s">
        <v>36</v>
      </c>
      <c r="I468" s="39" t="s">
        <v>759</v>
      </c>
      <c r="J468" s="39" t="s">
        <v>35</v>
      </c>
      <c r="K468" t="s">
        <v>760</v>
      </c>
      <c r="L468" s="49" t="s">
        <v>761</v>
      </c>
      <c r="M468" s="6" t="s">
        <v>5128</v>
      </c>
      <c r="N468" t="s">
        <v>131</v>
      </c>
      <c r="O468" t="s">
        <v>42</v>
      </c>
      <c r="P468" s="35" t="s">
        <v>43</v>
      </c>
      <c r="Q468" t="s">
        <v>44</v>
      </c>
      <c r="R468" t="s">
        <v>762</v>
      </c>
      <c r="S468" s="6" t="s">
        <v>4927</v>
      </c>
      <c r="T468" s="43" t="s">
        <v>459</v>
      </c>
      <c r="U468" s="43" t="s">
        <v>459</v>
      </c>
      <c r="V468" t="s">
        <v>42</v>
      </c>
      <c r="W468" s="57"/>
      <c r="X468" s="57"/>
      <c r="Y468" t="s">
        <v>43</v>
      </c>
      <c r="Z468" s="39"/>
      <c r="AA468" s="39"/>
      <c r="AB468" t="s">
        <v>44</v>
      </c>
      <c r="AC468" s="42">
        <v>44198</v>
      </c>
      <c r="AD468" s="42">
        <v>45658</v>
      </c>
      <c r="AE468" s="53" t="s">
        <v>425</v>
      </c>
      <c r="AF468" s="54" t="s">
        <v>35</v>
      </c>
      <c r="AG468" s="54"/>
      <c r="AH468" s="39" t="s">
        <v>70</v>
      </c>
      <c r="AI468" s="39" t="s">
        <v>70</v>
      </c>
    </row>
    <row r="469" spans="1:35" ht="17" x14ac:dyDescent="0.2">
      <c r="A469">
        <v>186</v>
      </c>
      <c r="B469">
        <v>152</v>
      </c>
      <c r="C469" t="s">
        <v>5169</v>
      </c>
      <c r="D469" s="39" t="s">
        <v>1114</v>
      </c>
      <c r="E469" s="39" t="s">
        <v>373</v>
      </c>
      <c r="F469" s="39" t="s">
        <v>35</v>
      </c>
      <c r="G469" s="39" t="s">
        <v>82</v>
      </c>
      <c r="H469" s="34"/>
      <c r="I469" s="39" t="s">
        <v>1115</v>
      </c>
      <c r="J469" s="39" t="s">
        <v>35</v>
      </c>
      <c r="K469" t="s">
        <v>1116</v>
      </c>
      <c r="L469" s="49" t="s">
        <v>1117</v>
      </c>
      <c r="M469" s="6" t="s">
        <v>3013</v>
      </c>
      <c r="N469" t="s">
        <v>86</v>
      </c>
      <c r="O469" t="s">
        <v>399</v>
      </c>
      <c r="P469" s="35" t="s">
        <v>50</v>
      </c>
      <c r="Q469" t="s">
        <v>35</v>
      </c>
      <c r="R469" t="s">
        <v>1118</v>
      </c>
      <c r="S469" s="6" t="s">
        <v>64</v>
      </c>
      <c r="T469" s="43" t="s">
        <v>400</v>
      </c>
      <c r="U469" s="43" t="s">
        <v>324</v>
      </c>
      <c r="V469" t="s">
        <v>60</v>
      </c>
      <c r="W469" s="57"/>
      <c r="X469" s="57"/>
      <c r="Y469" t="s">
        <v>61</v>
      </c>
      <c r="Z469" s="39"/>
      <c r="AA469" s="39"/>
      <c r="AB469" t="s">
        <v>76</v>
      </c>
      <c r="AC469" s="42">
        <v>37013</v>
      </c>
      <c r="AD469" s="42">
        <v>38007</v>
      </c>
      <c r="AE469" s="53" t="s">
        <v>51</v>
      </c>
      <c r="AF469" s="54" t="s">
        <v>35</v>
      </c>
      <c r="AG469" s="54"/>
      <c r="AH469" s="39" t="s">
        <v>52</v>
      </c>
      <c r="AI469" s="39" t="s">
        <v>52</v>
      </c>
    </row>
    <row r="470" spans="1:35" ht="17" x14ac:dyDescent="0.2">
      <c r="B470">
        <v>199</v>
      </c>
      <c r="C470" t="s">
        <v>5788</v>
      </c>
      <c r="D470" s="39" t="s">
        <v>1364</v>
      </c>
      <c r="E470" s="39" t="s">
        <v>373</v>
      </c>
      <c r="F470" s="39" t="s">
        <v>35</v>
      </c>
      <c r="G470" s="39" t="s">
        <v>36</v>
      </c>
      <c r="I470" s="39" t="s">
        <v>35</v>
      </c>
      <c r="J470" s="39" t="s">
        <v>35</v>
      </c>
      <c r="K470" t="s">
        <v>1365</v>
      </c>
      <c r="L470" t="s">
        <v>1366</v>
      </c>
      <c r="M470" s="6" t="s">
        <v>6060</v>
      </c>
      <c r="N470" t="s">
        <v>41</v>
      </c>
      <c r="O470" t="s">
        <v>49</v>
      </c>
      <c r="P470" s="35" t="s">
        <v>50</v>
      </c>
      <c r="Q470" t="s">
        <v>62</v>
      </c>
      <c r="R470" t="s">
        <v>1367</v>
      </c>
      <c r="S470" s="6" t="s">
        <v>35</v>
      </c>
      <c r="T470" s="43" t="s">
        <v>66</v>
      </c>
      <c r="U470" s="43" t="s">
        <v>47</v>
      </c>
      <c r="V470" t="s">
        <v>1368</v>
      </c>
      <c r="W470" s="57"/>
      <c r="X470" s="57"/>
      <c r="Y470" t="s">
        <v>894</v>
      </c>
      <c r="Z470" s="39"/>
      <c r="AA470" s="39"/>
      <c r="AB470" t="s">
        <v>62</v>
      </c>
      <c r="AC470" s="42">
        <v>42372</v>
      </c>
      <c r="AD470" s="42">
        <v>42377</v>
      </c>
      <c r="AE470" s="53" t="s">
        <v>51</v>
      </c>
      <c r="AF470" s="54" t="s">
        <v>35</v>
      </c>
      <c r="AG470" s="54"/>
      <c r="AH470" s="39" t="s">
        <v>52</v>
      </c>
      <c r="AI470" s="39" t="s">
        <v>52</v>
      </c>
    </row>
    <row r="471" spans="1:35" ht="17" x14ac:dyDescent="0.2">
      <c r="A471">
        <v>183</v>
      </c>
      <c r="B471">
        <v>232</v>
      </c>
      <c r="C471" t="s">
        <v>5175</v>
      </c>
      <c r="D471" s="39" t="s">
        <v>1556</v>
      </c>
      <c r="E471" s="39" t="s">
        <v>373</v>
      </c>
      <c r="F471" s="39" t="s">
        <v>35</v>
      </c>
      <c r="G471" s="39" t="s">
        <v>82</v>
      </c>
      <c r="I471" s="39" t="s">
        <v>1557</v>
      </c>
      <c r="J471" s="39" t="s">
        <v>35</v>
      </c>
      <c r="K471" t="s">
        <v>1558</v>
      </c>
      <c r="L471" t="s">
        <v>1559</v>
      </c>
      <c r="M471" s="6" t="s">
        <v>6061</v>
      </c>
      <c r="N471" t="s">
        <v>86</v>
      </c>
      <c r="O471" t="s">
        <v>1560</v>
      </c>
      <c r="P471" s="35" t="s">
        <v>1561</v>
      </c>
      <c r="Q471" t="s">
        <v>44</v>
      </c>
      <c r="R471" t="s">
        <v>1562</v>
      </c>
      <c r="S471" s="6" t="s">
        <v>6243</v>
      </c>
      <c r="T471" s="43" t="s">
        <v>1226</v>
      </c>
      <c r="U471" s="43" t="s">
        <v>625</v>
      </c>
      <c r="V471" t="s">
        <v>1563</v>
      </c>
      <c r="W471" s="57"/>
      <c r="X471" s="57"/>
      <c r="Y471" t="s">
        <v>99</v>
      </c>
      <c r="Z471" s="39"/>
      <c r="AA471" s="39"/>
      <c r="AB471" t="s">
        <v>115</v>
      </c>
      <c r="AC471" s="42">
        <v>37013</v>
      </c>
      <c r="AD471" s="42">
        <v>38007</v>
      </c>
      <c r="AE471" s="53" t="s">
        <v>116</v>
      </c>
      <c r="AF471" s="54" t="s">
        <v>35</v>
      </c>
      <c r="AG471" s="54"/>
      <c r="AH471" s="39" t="s">
        <v>70</v>
      </c>
      <c r="AI471" s="39" t="s">
        <v>52</v>
      </c>
    </row>
    <row r="472" spans="1:35" ht="17" x14ac:dyDescent="0.2">
      <c r="A472">
        <v>161</v>
      </c>
      <c r="B472">
        <v>298</v>
      </c>
      <c r="C472" t="s">
        <v>5180</v>
      </c>
      <c r="D472" s="39" t="s">
        <v>1878</v>
      </c>
      <c r="E472" s="39" t="s">
        <v>373</v>
      </c>
      <c r="F472" s="39" t="s">
        <v>35</v>
      </c>
      <c r="G472" s="39" t="s">
        <v>205</v>
      </c>
      <c r="I472" s="39" t="s">
        <v>1879</v>
      </c>
      <c r="J472" s="39" t="s">
        <v>35</v>
      </c>
      <c r="K472" t="s">
        <v>1880</v>
      </c>
      <c r="L472" t="s">
        <v>1881</v>
      </c>
      <c r="M472" s="6" t="s">
        <v>6062</v>
      </c>
      <c r="N472" t="s">
        <v>86</v>
      </c>
      <c r="O472" t="s">
        <v>1882</v>
      </c>
      <c r="P472" s="35" t="s">
        <v>50</v>
      </c>
      <c r="Q472" t="s">
        <v>911</v>
      </c>
      <c r="R472" t="s">
        <v>1883</v>
      </c>
      <c r="S472" s="6" t="s">
        <v>3501</v>
      </c>
      <c r="T472" s="43" t="s">
        <v>797</v>
      </c>
      <c r="U472" s="43" t="s">
        <v>474</v>
      </c>
      <c r="V472" t="s">
        <v>1884</v>
      </c>
      <c r="W472" s="57"/>
      <c r="X472" s="57"/>
      <c r="Y472" t="s">
        <v>50</v>
      </c>
      <c r="Z472" s="39"/>
      <c r="AA472" s="39"/>
      <c r="AB472" t="s">
        <v>911</v>
      </c>
      <c r="AC472" s="42">
        <v>36655</v>
      </c>
      <c r="AD472" s="42">
        <v>36933</v>
      </c>
      <c r="AE472" s="53" t="s">
        <v>51</v>
      </c>
      <c r="AF472" s="54" t="s">
        <v>35</v>
      </c>
      <c r="AG472" s="54"/>
      <c r="AH472" s="39" t="s">
        <v>52</v>
      </c>
      <c r="AI472" s="39" t="s">
        <v>52</v>
      </c>
    </row>
    <row r="473" spans="1:35" ht="17" x14ac:dyDescent="0.2">
      <c r="A473">
        <v>178</v>
      </c>
      <c r="B473">
        <v>340</v>
      </c>
      <c r="C473" t="s">
        <v>5184</v>
      </c>
      <c r="D473" s="39" t="s">
        <v>2094</v>
      </c>
      <c r="E473" s="39" t="s">
        <v>373</v>
      </c>
      <c r="F473" s="39" t="s">
        <v>35</v>
      </c>
      <c r="G473" s="39" t="s">
        <v>205</v>
      </c>
      <c r="I473" s="39" t="s">
        <v>2095</v>
      </c>
      <c r="J473" s="39" t="s">
        <v>2096</v>
      </c>
      <c r="K473" t="s">
        <v>2097</v>
      </c>
      <c r="L473" t="s">
        <v>1642</v>
      </c>
      <c r="M473" s="6" t="s">
        <v>51</v>
      </c>
      <c r="N473" t="s">
        <v>59</v>
      </c>
      <c r="O473" t="s">
        <v>49</v>
      </c>
      <c r="P473" s="35" t="s">
        <v>50</v>
      </c>
      <c r="Q473" t="s">
        <v>980</v>
      </c>
      <c r="R473" t="s">
        <v>2098</v>
      </c>
      <c r="S473" s="6" t="s">
        <v>5150</v>
      </c>
      <c r="T473" s="43" t="s">
        <v>1094</v>
      </c>
      <c r="U473" s="43" t="s">
        <v>90</v>
      </c>
      <c r="V473" t="s">
        <v>49</v>
      </c>
      <c r="W473" s="57"/>
      <c r="X473" s="57"/>
      <c r="Y473" t="s">
        <v>50</v>
      </c>
      <c r="Z473" s="39"/>
      <c r="AA473" s="39"/>
      <c r="AB473" t="s">
        <v>1627</v>
      </c>
      <c r="AC473" s="42">
        <v>37013</v>
      </c>
      <c r="AD473" s="42">
        <v>38007</v>
      </c>
      <c r="AE473" s="53" t="s">
        <v>157</v>
      </c>
      <c r="AF473" s="54" t="s">
        <v>35</v>
      </c>
      <c r="AG473" s="54"/>
      <c r="AH473" s="39" t="s">
        <v>70</v>
      </c>
      <c r="AI473" s="39" t="s">
        <v>52</v>
      </c>
    </row>
    <row r="474" spans="1:35" ht="17" x14ac:dyDescent="0.2">
      <c r="A474">
        <v>43</v>
      </c>
      <c r="B474">
        <v>400</v>
      </c>
      <c r="C474" t="s">
        <v>5189</v>
      </c>
      <c r="D474" s="39" t="s">
        <v>2405</v>
      </c>
      <c r="E474" s="39" t="s">
        <v>373</v>
      </c>
      <c r="F474" s="39" t="s">
        <v>35</v>
      </c>
      <c r="G474" s="39" t="s">
        <v>139</v>
      </c>
      <c r="I474" s="39" t="s">
        <v>2406</v>
      </c>
      <c r="J474" s="39" t="s">
        <v>2407</v>
      </c>
      <c r="K474" t="s">
        <v>2408</v>
      </c>
      <c r="L474" t="s">
        <v>2409</v>
      </c>
      <c r="M474" s="6" t="s">
        <v>3600</v>
      </c>
      <c r="N474" t="s">
        <v>86</v>
      </c>
      <c r="O474" t="s">
        <v>190</v>
      </c>
      <c r="P474" s="35" t="s">
        <v>191</v>
      </c>
      <c r="Q474" t="s">
        <v>44</v>
      </c>
      <c r="R474" t="s">
        <v>2410</v>
      </c>
      <c r="S474" s="6" t="s">
        <v>756</v>
      </c>
      <c r="T474" s="43" t="s">
        <v>624</v>
      </c>
      <c r="U474" s="43" t="s">
        <v>386</v>
      </c>
      <c r="V474" t="s">
        <v>190</v>
      </c>
      <c r="W474" s="57"/>
      <c r="X474" s="57"/>
      <c r="Y474" t="s">
        <v>191</v>
      </c>
      <c r="Z474" s="39"/>
      <c r="AA474" s="39"/>
      <c r="AB474" t="s">
        <v>44</v>
      </c>
      <c r="AC474" s="42">
        <v>33240</v>
      </c>
      <c r="AD474" s="42">
        <v>33602</v>
      </c>
      <c r="AE474" s="53" t="s">
        <v>51</v>
      </c>
      <c r="AF474" s="54" t="s">
        <v>35</v>
      </c>
      <c r="AG474" s="54"/>
      <c r="AH474" s="39" t="s">
        <v>52</v>
      </c>
      <c r="AI474" s="39" t="s">
        <v>52</v>
      </c>
    </row>
    <row r="475" spans="1:35" ht="17" x14ac:dyDescent="0.2">
      <c r="A475">
        <v>536</v>
      </c>
      <c r="B475">
        <v>434</v>
      </c>
      <c r="C475" t="s">
        <v>5194</v>
      </c>
      <c r="D475" s="39" t="s">
        <v>2560</v>
      </c>
      <c r="E475" s="39" t="s">
        <v>373</v>
      </c>
      <c r="F475" s="39" t="s">
        <v>35</v>
      </c>
      <c r="G475" s="39" t="s">
        <v>36</v>
      </c>
      <c r="I475" s="39" t="s">
        <v>2565</v>
      </c>
      <c r="J475" s="39" t="s">
        <v>35</v>
      </c>
      <c r="K475" t="s">
        <v>2566</v>
      </c>
      <c r="L475" t="s">
        <v>236</v>
      </c>
      <c r="M475" s="6" t="s">
        <v>157</v>
      </c>
      <c r="N475" t="s">
        <v>97</v>
      </c>
      <c r="O475" t="s">
        <v>49</v>
      </c>
      <c r="P475" s="35" t="s">
        <v>50</v>
      </c>
      <c r="Q475" t="s">
        <v>44</v>
      </c>
      <c r="R475" t="s">
        <v>236</v>
      </c>
      <c r="S475" s="6" t="s">
        <v>6244</v>
      </c>
      <c r="T475" s="43" t="s">
        <v>1350</v>
      </c>
      <c r="U475" s="43" t="s">
        <v>528</v>
      </c>
      <c r="V475" t="s">
        <v>49</v>
      </c>
      <c r="W475" s="57"/>
      <c r="X475" s="57"/>
      <c r="Y475" t="s">
        <v>50</v>
      </c>
      <c r="Z475" s="39"/>
      <c r="AA475" s="39"/>
      <c r="AB475" t="s">
        <v>44</v>
      </c>
      <c r="AC475" s="42">
        <v>43831</v>
      </c>
      <c r="AD475" s="42">
        <v>44197</v>
      </c>
      <c r="AE475" s="53" t="s">
        <v>51</v>
      </c>
      <c r="AF475" s="54" t="s">
        <v>35</v>
      </c>
      <c r="AG475" s="54"/>
      <c r="AH475" s="39" t="s">
        <v>52</v>
      </c>
      <c r="AI475" s="39" t="s">
        <v>52</v>
      </c>
    </row>
    <row r="476" spans="1:35" ht="17" x14ac:dyDescent="0.2">
      <c r="A476">
        <v>107</v>
      </c>
      <c r="B476">
        <v>460</v>
      </c>
      <c r="C476" t="s">
        <v>5198</v>
      </c>
      <c r="D476" s="39" t="s">
        <v>2672</v>
      </c>
      <c r="E476" s="39" t="s">
        <v>373</v>
      </c>
      <c r="F476" s="39" t="s">
        <v>35</v>
      </c>
      <c r="G476" s="39" t="s">
        <v>205</v>
      </c>
      <c r="H476" s="34"/>
      <c r="I476" s="39" t="s">
        <v>2673</v>
      </c>
      <c r="J476" s="39" t="s">
        <v>2674</v>
      </c>
      <c r="K476" t="s">
        <v>2675</v>
      </c>
      <c r="L476" t="s">
        <v>1905</v>
      </c>
      <c r="M476" s="6" t="s">
        <v>6063</v>
      </c>
      <c r="N476" t="s">
        <v>86</v>
      </c>
      <c r="O476" t="s">
        <v>123</v>
      </c>
      <c r="P476" s="35" t="s">
        <v>99</v>
      </c>
      <c r="Q476" t="s">
        <v>62</v>
      </c>
      <c r="R476" t="s">
        <v>2676</v>
      </c>
      <c r="S476" s="6" t="s">
        <v>6245</v>
      </c>
      <c r="T476" s="43" t="s">
        <v>307</v>
      </c>
      <c r="U476" s="43" t="s">
        <v>154</v>
      </c>
      <c r="V476" t="s">
        <v>123</v>
      </c>
      <c r="W476" s="57"/>
      <c r="X476" s="57"/>
      <c r="Y476" t="s">
        <v>99</v>
      </c>
      <c r="Z476" s="39"/>
      <c r="AA476" s="39"/>
      <c r="AB476" t="s">
        <v>76</v>
      </c>
      <c r="AC476" s="42">
        <v>35104</v>
      </c>
      <c r="AD476" s="42">
        <v>37298</v>
      </c>
      <c r="AE476" s="53" t="s">
        <v>453</v>
      </c>
      <c r="AF476" s="54" t="s">
        <v>35</v>
      </c>
      <c r="AG476" s="54"/>
      <c r="AH476" s="39" t="s">
        <v>70</v>
      </c>
      <c r="AI476" s="39" t="s">
        <v>52</v>
      </c>
    </row>
    <row r="477" spans="1:35" ht="17" x14ac:dyDescent="0.2">
      <c r="A477">
        <v>339</v>
      </c>
      <c r="B477">
        <v>561</v>
      </c>
      <c r="C477" t="s">
        <v>5205</v>
      </c>
      <c r="D477" s="39" t="s">
        <v>3167</v>
      </c>
      <c r="E477" s="39" t="s">
        <v>373</v>
      </c>
      <c r="F477" s="39" t="s">
        <v>35</v>
      </c>
      <c r="G477" s="39" t="s">
        <v>160</v>
      </c>
      <c r="I477" s="39" t="s">
        <v>3168</v>
      </c>
      <c r="J477" s="39" t="s">
        <v>35</v>
      </c>
      <c r="K477" t="s">
        <v>3169</v>
      </c>
      <c r="L477" t="s">
        <v>3170</v>
      </c>
      <c r="M477" s="6" t="s">
        <v>6064</v>
      </c>
      <c r="N477" s="36" t="s">
        <v>86</v>
      </c>
      <c r="O477" t="s">
        <v>42</v>
      </c>
      <c r="P477" s="35" t="s">
        <v>43</v>
      </c>
      <c r="Q477" t="s">
        <v>479</v>
      </c>
      <c r="R477" t="s">
        <v>3171</v>
      </c>
      <c r="S477" s="6" t="s">
        <v>5878</v>
      </c>
      <c r="T477" s="43" t="s">
        <v>66</v>
      </c>
      <c r="U477" s="43" t="s">
        <v>1139</v>
      </c>
      <c r="V477" t="s">
        <v>42</v>
      </c>
      <c r="W477" s="57"/>
      <c r="X477" s="57"/>
      <c r="Y477" t="s">
        <v>43</v>
      </c>
      <c r="Z477" s="39"/>
      <c r="AA477" s="39"/>
      <c r="AB477" t="s">
        <v>115</v>
      </c>
      <c r="AC477" s="42">
        <v>40568</v>
      </c>
      <c r="AD477" s="42">
        <v>41079</v>
      </c>
      <c r="AE477" s="53" t="s">
        <v>425</v>
      </c>
      <c r="AF477" s="54" t="s">
        <v>35</v>
      </c>
      <c r="AG477" s="54"/>
      <c r="AH477" s="39" t="s">
        <v>52</v>
      </c>
      <c r="AI477" s="39" t="s">
        <v>70</v>
      </c>
    </row>
    <row r="478" spans="1:35" ht="17" x14ac:dyDescent="0.2">
      <c r="A478">
        <v>458</v>
      </c>
      <c r="B478">
        <v>145</v>
      </c>
      <c r="C478" t="s">
        <v>5210</v>
      </c>
      <c r="D478" s="39" t="s">
        <v>1072</v>
      </c>
      <c r="E478" s="39" t="s">
        <v>1073</v>
      </c>
      <c r="F478" s="39" t="s">
        <v>35</v>
      </c>
      <c r="G478" s="39" t="s">
        <v>36</v>
      </c>
      <c r="I478" s="39" t="s">
        <v>1074</v>
      </c>
      <c r="J478" s="39" t="s">
        <v>35</v>
      </c>
      <c r="K478" t="s">
        <v>1075</v>
      </c>
      <c r="L478" s="49" t="s">
        <v>1076</v>
      </c>
      <c r="M478" s="6" t="s">
        <v>4053</v>
      </c>
      <c r="N478" t="s">
        <v>59</v>
      </c>
      <c r="O478" t="s">
        <v>49</v>
      </c>
      <c r="P478" s="35" t="s">
        <v>50</v>
      </c>
      <c r="Q478" t="s">
        <v>44</v>
      </c>
      <c r="R478" t="s">
        <v>1077</v>
      </c>
      <c r="S478" s="6" t="s">
        <v>3706</v>
      </c>
      <c r="T478" s="43" t="s">
        <v>35</v>
      </c>
      <c r="U478" s="43" t="s">
        <v>35</v>
      </c>
      <c r="W478" s="57"/>
      <c r="X478" s="57"/>
      <c r="AB478" t="s">
        <v>35</v>
      </c>
      <c r="AC478" s="42">
        <v>43115</v>
      </c>
      <c r="AD478" s="42">
        <v>44377</v>
      </c>
      <c r="AE478" s="53" t="s">
        <v>1078</v>
      </c>
      <c r="AF478" s="54" t="s">
        <v>35</v>
      </c>
      <c r="AG478" s="54"/>
      <c r="AH478" s="39" t="s">
        <v>52</v>
      </c>
      <c r="AI478" s="39" t="s">
        <v>52</v>
      </c>
    </row>
    <row r="479" spans="1:35" ht="17" x14ac:dyDescent="0.2">
      <c r="A479">
        <v>29</v>
      </c>
      <c r="B479">
        <v>248</v>
      </c>
      <c r="C479" t="s">
        <v>5214</v>
      </c>
      <c r="D479" s="39" t="s">
        <v>1645</v>
      </c>
      <c r="E479" s="39" t="s">
        <v>1646</v>
      </c>
      <c r="F479" s="39" t="s">
        <v>35</v>
      </c>
      <c r="G479" s="39" t="s">
        <v>194</v>
      </c>
      <c r="I479" s="39" t="s">
        <v>35</v>
      </c>
      <c r="J479" s="39" t="s">
        <v>35</v>
      </c>
      <c r="K479" t="s">
        <v>1647</v>
      </c>
      <c r="L479" t="s">
        <v>1648</v>
      </c>
      <c r="M479" s="6" t="s">
        <v>64</v>
      </c>
      <c r="O479" t="s">
        <v>49</v>
      </c>
      <c r="P479" s="35" t="s">
        <v>50</v>
      </c>
      <c r="Q479" t="s">
        <v>44</v>
      </c>
      <c r="S479" s="6" t="s">
        <v>6246</v>
      </c>
      <c r="T479" s="43" t="s">
        <v>35</v>
      </c>
      <c r="U479" s="43" t="s">
        <v>35</v>
      </c>
      <c r="W479" s="57"/>
      <c r="X479" s="57"/>
      <c r="Z479" s="39"/>
      <c r="AA479" s="39"/>
      <c r="AB479" t="s">
        <v>35</v>
      </c>
      <c r="AC479" s="42">
        <v>33240</v>
      </c>
      <c r="AD479" s="42">
        <v>34233</v>
      </c>
      <c r="AE479" s="53" t="s">
        <v>51</v>
      </c>
      <c r="AF479" s="54" t="s">
        <v>35</v>
      </c>
      <c r="AG479" s="54"/>
      <c r="AH479" s="39" t="s">
        <v>52</v>
      </c>
      <c r="AI479" s="39" t="s">
        <v>52</v>
      </c>
    </row>
    <row r="480" spans="1:35" ht="17" x14ac:dyDescent="0.2">
      <c r="A480">
        <v>548</v>
      </c>
      <c r="B480">
        <v>371</v>
      </c>
      <c r="C480" t="s">
        <v>5218</v>
      </c>
      <c r="D480" s="39" t="s">
        <v>2261</v>
      </c>
      <c r="E480" s="39" t="s">
        <v>2262</v>
      </c>
      <c r="F480" s="39" t="s">
        <v>35</v>
      </c>
      <c r="G480" s="39" t="s">
        <v>35</v>
      </c>
      <c r="I480" s="39" t="s">
        <v>2263</v>
      </c>
      <c r="J480" s="39" t="s">
        <v>35</v>
      </c>
      <c r="K480" t="s">
        <v>2264</v>
      </c>
      <c r="L480" t="s">
        <v>2265</v>
      </c>
      <c r="M480" s="6" t="s">
        <v>3837</v>
      </c>
      <c r="N480" t="s">
        <v>59</v>
      </c>
      <c r="P480" s="35"/>
      <c r="Q480" t="s">
        <v>44</v>
      </c>
      <c r="R480" t="s">
        <v>2070</v>
      </c>
      <c r="S480" s="6" t="s">
        <v>5178</v>
      </c>
      <c r="T480" s="43" t="s">
        <v>35</v>
      </c>
      <c r="U480" s="43" t="s">
        <v>35</v>
      </c>
      <c r="W480" s="57"/>
      <c r="X480" s="57"/>
      <c r="Z480" s="39"/>
      <c r="AA480" s="39"/>
      <c r="AB480" t="s">
        <v>35</v>
      </c>
      <c r="AD480" s="42" t="s">
        <v>35</v>
      </c>
      <c r="AE480" s="53" t="s">
        <v>51</v>
      </c>
      <c r="AF480" s="54" t="s">
        <v>35</v>
      </c>
      <c r="AG480" s="54"/>
      <c r="AH480" s="39" t="s">
        <v>52</v>
      </c>
      <c r="AI480" s="39" t="s">
        <v>52</v>
      </c>
    </row>
    <row r="481" spans="1:35" ht="17" x14ac:dyDescent="0.2">
      <c r="A481">
        <v>284</v>
      </c>
      <c r="B481">
        <v>420</v>
      </c>
      <c r="C481" t="s">
        <v>5220</v>
      </c>
      <c r="D481" s="39" t="s">
        <v>2499</v>
      </c>
      <c r="E481" s="39" t="s">
        <v>2500</v>
      </c>
      <c r="F481" s="39" t="s">
        <v>35</v>
      </c>
      <c r="G481" s="39" t="s">
        <v>55</v>
      </c>
      <c r="I481" s="39" t="s">
        <v>2501</v>
      </c>
      <c r="J481" s="39" t="s">
        <v>2502</v>
      </c>
      <c r="K481" t="s">
        <v>2503</v>
      </c>
      <c r="L481" t="s">
        <v>2504</v>
      </c>
      <c r="M481" s="6" t="s">
        <v>4148</v>
      </c>
      <c r="N481" t="s">
        <v>86</v>
      </c>
      <c r="O481" t="s">
        <v>401</v>
      </c>
      <c r="P481" s="35" t="s">
        <v>50</v>
      </c>
      <c r="Q481" t="s">
        <v>1627</v>
      </c>
      <c r="R481" t="s">
        <v>2505</v>
      </c>
      <c r="S481" s="6" t="s">
        <v>6247</v>
      </c>
      <c r="T481" s="43" t="s">
        <v>2506</v>
      </c>
      <c r="U481" s="43" t="s">
        <v>324</v>
      </c>
      <c r="V481" t="s">
        <v>401</v>
      </c>
      <c r="W481" s="57"/>
      <c r="X481" s="57"/>
      <c r="Y481" t="s">
        <v>50</v>
      </c>
      <c r="Z481" s="39"/>
      <c r="AA481" s="39"/>
      <c r="AB481" t="s">
        <v>1627</v>
      </c>
      <c r="AC481" s="42">
        <v>38860</v>
      </c>
      <c r="AD481" s="42">
        <v>40197</v>
      </c>
      <c r="AE481" s="53" t="s">
        <v>51</v>
      </c>
      <c r="AF481" s="54" t="s">
        <v>35</v>
      </c>
      <c r="AG481" s="54"/>
      <c r="AH481" s="39" t="s">
        <v>52</v>
      </c>
      <c r="AI481" s="39" t="s">
        <v>52</v>
      </c>
    </row>
    <row r="482" spans="1:35" ht="17" x14ac:dyDescent="0.2">
      <c r="A482">
        <v>149</v>
      </c>
      <c r="B482">
        <v>405</v>
      </c>
      <c r="C482" t="s">
        <v>5228</v>
      </c>
      <c r="D482" s="39" t="s">
        <v>2426</v>
      </c>
      <c r="E482" s="39" t="s">
        <v>2427</v>
      </c>
      <c r="F482" s="39" t="s">
        <v>35</v>
      </c>
      <c r="G482" s="39" t="s">
        <v>205</v>
      </c>
      <c r="I482" s="39" t="s">
        <v>2428</v>
      </c>
      <c r="J482" s="39" t="s">
        <v>35</v>
      </c>
      <c r="K482" t="s">
        <v>2429</v>
      </c>
      <c r="L482" t="s">
        <v>611</v>
      </c>
      <c r="M482" s="6" t="s">
        <v>6065</v>
      </c>
      <c r="N482" t="s">
        <v>86</v>
      </c>
      <c r="O482" t="s">
        <v>123</v>
      </c>
      <c r="P482" s="35"/>
      <c r="Q482" t="s">
        <v>44</v>
      </c>
      <c r="R482" t="s">
        <v>611</v>
      </c>
      <c r="S482" s="6" t="s">
        <v>6248</v>
      </c>
      <c r="T482" s="43" t="s">
        <v>1244</v>
      </c>
      <c r="U482" s="43" t="s">
        <v>1273</v>
      </c>
      <c r="V482" t="s">
        <v>123</v>
      </c>
      <c r="W482" s="57"/>
      <c r="X482" s="57"/>
      <c r="Y482" t="s">
        <v>99</v>
      </c>
      <c r="Z482" s="39"/>
      <c r="AA482" s="39"/>
      <c r="AB482" t="s">
        <v>44</v>
      </c>
      <c r="AC482" s="42">
        <v>36280</v>
      </c>
      <c r="AD482" s="42">
        <v>37313</v>
      </c>
      <c r="AE482" s="53" t="s">
        <v>51</v>
      </c>
      <c r="AF482" s="54" t="s">
        <v>35</v>
      </c>
      <c r="AG482" s="54"/>
      <c r="AH482" s="39" t="s">
        <v>52</v>
      </c>
      <c r="AI482" s="39" t="s">
        <v>52</v>
      </c>
    </row>
    <row r="483" spans="1:35" ht="17" x14ac:dyDescent="0.2">
      <c r="A483">
        <v>326</v>
      </c>
      <c r="B483">
        <v>351</v>
      </c>
      <c r="C483" t="s">
        <v>4878</v>
      </c>
      <c r="D483" s="39" t="s">
        <v>2152</v>
      </c>
      <c r="E483" s="39" t="s">
        <v>2153</v>
      </c>
      <c r="F483" s="39" t="s">
        <v>35</v>
      </c>
      <c r="G483" s="39" t="s">
        <v>55</v>
      </c>
      <c r="H483" s="34"/>
      <c r="I483" s="39" t="s">
        <v>2154</v>
      </c>
      <c r="J483" s="39" t="s">
        <v>35</v>
      </c>
      <c r="K483" t="s">
        <v>2155</v>
      </c>
      <c r="L483" t="s">
        <v>2156</v>
      </c>
      <c r="M483" s="6" t="s">
        <v>5913</v>
      </c>
      <c r="N483" t="s">
        <v>86</v>
      </c>
      <c r="O483" t="s">
        <v>346</v>
      </c>
      <c r="P483" s="35"/>
      <c r="Q483" t="s">
        <v>62</v>
      </c>
      <c r="R483" t="s">
        <v>2157</v>
      </c>
      <c r="S483" s="6" t="s">
        <v>3589</v>
      </c>
      <c r="T483" s="43" t="s">
        <v>246</v>
      </c>
      <c r="U483" s="43" t="s">
        <v>936</v>
      </c>
      <c r="V483" t="s">
        <v>346</v>
      </c>
      <c r="W483" s="57"/>
      <c r="X483" s="57"/>
      <c r="Y483" t="s">
        <v>50</v>
      </c>
      <c r="Z483" s="39"/>
      <c r="AA483" s="39"/>
      <c r="AB483" t="s">
        <v>115</v>
      </c>
      <c r="AC483" s="42">
        <v>40113</v>
      </c>
      <c r="AD483" s="42">
        <v>40513</v>
      </c>
      <c r="AE483" s="53" t="s">
        <v>51</v>
      </c>
      <c r="AF483" s="54" t="s">
        <v>35</v>
      </c>
      <c r="AG483" s="54"/>
      <c r="AH483" s="39" t="s">
        <v>52</v>
      </c>
      <c r="AI483" s="39" t="s">
        <v>52</v>
      </c>
    </row>
    <row r="484" spans="1:35" ht="17" x14ac:dyDescent="0.2">
      <c r="A484">
        <v>362</v>
      </c>
      <c r="B484">
        <v>382</v>
      </c>
      <c r="C484" t="s">
        <v>5237</v>
      </c>
      <c r="D484" s="39" t="s">
        <v>2314</v>
      </c>
      <c r="E484" s="39" t="s">
        <v>2153</v>
      </c>
      <c r="F484" s="39" t="s">
        <v>35</v>
      </c>
      <c r="G484" s="39" t="s">
        <v>160</v>
      </c>
      <c r="I484" s="39" t="s">
        <v>2315</v>
      </c>
      <c r="J484" s="39" t="s">
        <v>35</v>
      </c>
      <c r="K484" t="s">
        <v>2316</v>
      </c>
      <c r="L484" t="s">
        <v>1383</v>
      </c>
      <c r="M484" s="6" t="s">
        <v>3476</v>
      </c>
      <c r="N484" t="s">
        <v>59</v>
      </c>
      <c r="O484" t="s">
        <v>49</v>
      </c>
      <c r="P484" s="35" t="s">
        <v>50</v>
      </c>
      <c r="Q484" t="s">
        <v>62</v>
      </c>
      <c r="R484" t="s">
        <v>2317</v>
      </c>
      <c r="S484" s="6" t="s">
        <v>4911</v>
      </c>
      <c r="T484" s="43" t="s">
        <v>35</v>
      </c>
      <c r="U484" s="43" t="s">
        <v>308</v>
      </c>
      <c r="W484" s="57"/>
      <c r="X484" s="57"/>
      <c r="Z484" s="39"/>
      <c r="AA484" s="39"/>
      <c r="AB484" t="s">
        <v>35</v>
      </c>
      <c r="AC484" s="42">
        <v>41310</v>
      </c>
      <c r="AD484" s="42">
        <v>42086</v>
      </c>
      <c r="AE484" s="53" t="s">
        <v>453</v>
      </c>
      <c r="AF484" s="54" t="s">
        <v>35</v>
      </c>
      <c r="AG484" s="54"/>
      <c r="AH484" s="39" t="s">
        <v>70</v>
      </c>
      <c r="AI484" s="39" t="s">
        <v>52</v>
      </c>
    </row>
    <row r="485" spans="1:35" ht="17" x14ac:dyDescent="0.2">
      <c r="A485">
        <v>212</v>
      </c>
      <c r="B485">
        <v>388</v>
      </c>
      <c r="C485" t="s">
        <v>5118</v>
      </c>
      <c r="D485" s="39" t="s">
        <v>2349</v>
      </c>
      <c r="E485" s="39" t="s">
        <v>2350</v>
      </c>
      <c r="F485" s="39" t="s">
        <v>35</v>
      </c>
      <c r="G485" s="39" t="s">
        <v>82</v>
      </c>
      <c r="H485" s="34"/>
      <c r="I485" s="39" t="s">
        <v>2351</v>
      </c>
      <c r="J485" s="39" t="s">
        <v>2352</v>
      </c>
      <c r="K485" t="s">
        <v>2353</v>
      </c>
      <c r="L485" t="s">
        <v>2354</v>
      </c>
      <c r="M485" s="6" t="s">
        <v>3600</v>
      </c>
      <c r="N485" t="s">
        <v>86</v>
      </c>
      <c r="O485" t="s">
        <v>42</v>
      </c>
      <c r="P485" s="35" t="s">
        <v>43</v>
      </c>
      <c r="Q485" t="s">
        <v>44</v>
      </c>
      <c r="R485" t="s">
        <v>2355</v>
      </c>
      <c r="S485" s="6" t="s">
        <v>5202</v>
      </c>
      <c r="T485" s="43" t="s">
        <v>1244</v>
      </c>
      <c r="U485" s="43" t="s">
        <v>1216</v>
      </c>
      <c r="V485" t="s">
        <v>42</v>
      </c>
      <c r="W485" s="57"/>
      <c r="X485" s="57"/>
      <c r="Y485" t="s">
        <v>43</v>
      </c>
      <c r="Z485" s="39"/>
      <c r="AA485" s="39"/>
      <c r="AB485" t="s">
        <v>62</v>
      </c>
      <c r="AC485" s="42">
        <v>37387</v>
      </c>
      <c r="AD485" s="42">
        <v>38007</v>
      </c>
      <c r="AE485" s="53" t="s">
        <v>51</v>
      </c>
      <c r="AF485" s="54" t="s">
        <v>35</v>
      </c>
      <c r="AG485" s="54"/>
      <c r="AH485" s="39" t="s">
        <v>52</v>
      </c>
      <c r="AI485" s="39" t="s">
        <v>52</v>
      </c>
    </row>
    <row r="486" spans="1:35" ht="17" x14ac:dyDescent="0.2">
      <c r="A486">
        <v>448</v>
      </c>
      <c r="B486">
        <v>544</v>
      </c>
      <c r="C486" t="s">
        <v>5246</v>
      </c>
      <c r="D486" s="39" t="s">
        <v>3083</v>
      </c>
      <c r="E486" s="39" t="s">
        <v>2350</v>
      </c>
      <c r="F486" s="39" t="s">
        <v>35</v>
      </c>
      <c r="G486" s="39" t="s">
        <v>36</v>
      </c>
      <c r="I486" s="39" t="s">
        <v>3084</v>
      </c>
      <c r="J486" s="39" t="s">
        <v>35</v>
      </c>
      <c r="K486" t="s">
        <v>3085</v>
      </c>
      <c r="L486" t="s">
        <v>844</v>
      </c>
      <c r="M486" s="6" t="s">
        <v>5913</v>
      </c>
      <c r="N486" s="36" t="s">
        <v>86</v>
      </c>
      <c r="O486" t="s">
        <v>49</v>
      </c>
      <c r="P486" s="35" t="s">
        <v>50</v>
      </c>
      <c r="Q486" t="s">
        <v>115</v>
      </c>
      <c r="R486" t="s">
        <v>837</v>
      </c>
      <c r="S486" s="6" t="s">
        <v>5178</v>
      </c>
      <c r="T486" s="43" t="s">
        <v>1236</v>
      </c>
      <c r="U486" s="43" t="s">
        <v>337</v>
      </c>
      <c r="V486" t="s">
        <v>839</v>
      </c>
      <c r="W486" s="57"/>
      <c r="X486" s="57"/>
      <c r="Y486" t="s">
        <v>354</v>
      </c>
      <c r="Z486" s="39"/>
      <c r="AA486" s="39"/>
      <c r="AB486" t="s">
        <v>115</v>
      </c>
      <c r="AC486" s="42">
        <v>42767</v>
      </c>
      <c r="AD486" s="42">
        <v>43159</v>
      </c>
      <c r="AE486" s="53" t="s">
        <v>425</v>
      </c>
      <c r="AF486" s="54" t="s">
        <v>35</v>
      </c>
      <c r="AG486" s="54"/>
      <c r="AH486" s="39" t="s">
        <v>52</v>
      </c>
      <c r="AI486" s="39" t="s">
        <v>70</v>
      </c>
    </row>
    <row r="487" spans="1:35" ht="17" x14ac:dyDescent="0.2">
      <c r="A487">
        <v>0</v>
      </c>
      <c r="B487">
        <v>466</v>
      </c>
      <c r="C487" t="s">
        <v>5251</v>
      </c>
      <c r="D487" s="39" t="s">
        <v>2700</v>
      </c>
      <c r="E487" s="39" t="s">
        <v>2701</v>
      </c>
      <c r="F487" s="39" t="s">
        <v>35</v>
      </c>
      <c r="G487" s="39" t="s">
        <v>160</v>
      </c>
      <c r="H487" s="34"/>
      <c r="I487" s="39" t="s">
        <v>2702</v>
      </c>
      <c r="J487" s="39" t="s">
        <v>2703</v>
      </c>
      <c r="K487" t="s">
        <v>2704</v>
      </c>
      <c r="L487" t="s">
        <v>75</v>
      </c>
      <c r="M487" s="6" t="s">
        <v>6066</v>
      </c>
      <c r="N487" s="37" t="s">
        <v>59</v>
      </c>
      <c r="O487" t="s">
        <v>639</v>
      </c>
      <c r="P487" s="35" t="s">
        <v>640</v>
      </c>
      <c r="Q487" t="s">
        <v>76</v>
      </c>
      <c r="R487" t="s">
        <v>75</v>
      </c>
      <c r="S487" s="6" t="s">
        <v>3733</v>
      </c>
      <c r="T487" s="43" t="s">
        <v>1907</v>
      </c>
      <c r="U487" s="43" t="s">
        <v>1436</v>
      </c>
      <c r="V487" t="s">
        <v>639</v>
      </c>
      <c r="W487" s="57"/>
      <c r="X487" s="57"/>
      <c r="Y487" t="s">
        <v>640</v>
      </c>
      <c r="Z487" s="39"/>
      <c r="AA487" s="39"/>
      <c r="AB487" t="s">
        <v>76</v>
      </c>
      <c r="AC487" s="42">
        <v>41666</v>
      </c>
      <c r="AD487" s="42">
        <v>42786</v>
      </c>
      <c r="AE487" s="53" t="s">
        <v>51</v>
      </c>
      <c r="AF487" s="54" t="s">
        <v>35</v>
      </c>
      <c r="AG487" s="54"/>
      <c r="AH487" s="39" t="s">
        <v>52</v>
      </c>
      <c r="AI487" s="39" t="s">
        <v>52</v>
      </c>
    </row>
    <row r="488" spans="1:35" ht="17" x14ac:dyDescent="0.2">
      <c r="A488">
        <v>567</v>
      </c>
      <c r="B488">
        <v>579</v>
      </c>
      <c r="C488" t="s">
        <v>5837</v>
      </c>
      <c r="D488" s="39" t="s">
        <v>3245</v>
      </c>
      <c r="E488" s="39" t="s">
        <v>3246</v>
      </c>
      <c r="F488" s="39" t="s">
        <v>35</v>
      </c>
      <c r="G488" s="39" t="s">
        <v>36</v>
      </c>
      <c r="I488" s="39" t="s">
        <v>3247</v>
      </c>
      <c r="J488" s="39" t="s">
        <v>35</v>
      </c>
      <c r="K488" t="s">
        <v>3248</v>
      </c>
      <c r="L488" t="s">
        <v>75</v>
      </c>
      <c r="M488" s="6" t="s">
        <v>5217</v>
      </c>
      <c r="N488" t="s">
        <v>131</v>
      </c>
      <c r="O488" t="s">
        <v>49</v>
      </c>
      <c r="P488" s="35" t="s">
        <v>50</v>
      </c>
      <c r="Q488" t="s">
        <v>35</v>
      </c>
      <c r="R488" t="s">
        <v>3249</v>
      </c>
      <c r="S488" s="6" t="s">
        <v>35</v>
      </c>
      <c r="T488" s="43" t="s">
        <v>494</v>
      </c>
      <c r="U488" s="43" t="s">
        <v>246</v>
      </c>
      <c r="V488" t="s">
        <v>49</v>
      </c>
      <c r="W488" s="57"/>
      <c r="X488" s="57"/>
      <c r="Y488" t="s">
        <v>50</v>
      </c>
      <c r="Z488" s="39"/>
      <c r="AA488" s="39"/>
      <c r="AB488" t="s">
        <v>62</v>
      </c>
      <c r="AC488" s="42">
        <v>44562</v>
      </c>
      <c r="AD488" s="43">
        <v>44935</v>
      </c>
      <c r="AE488" s="53" t="s">
        <v>51</v>
      </c>
      <c r="AF488" s="54" t="s">
        <v>35</v>
      </c>
      <c r="AG488" s="54"/>
      <c r="AH488" s="39" t="s">
        <v>52</v>
      </c>
      <c r="AI488" s="39" t="s">
        <v>52</v>
      </c>
    </row>
    <row r="489" spans="1:35" ht="17" x14ac:dyDescent="0.2">
      <c r="A489">
        <v>535</v>
      </c>
      <c r="B489">
        <v>430</v>
      </c>
      <c r="C489" t="s">
        <v>5257</v>
      </c>
      <c r="D489" s="39" t="s">
        <v>2546</v>
      </c>
      <c r="E489" s="39" t="s">
        <v>2547</v>
      </c>
      <c r="F489" s="39" t="s">
        <v>35</v>
      </c>
      <c r="G489" s="39" t="s">
        <v>36</v>
      </c>
      <c r="H489" s="34"/>
      <c r="I489" s="39" t="s">
        <v>35</v>
      </c>
      <c r="J489" s="39" t="s">
        <v>35</v>
      </c>
      <c r="K489" t="s">
        <v>2548</v>
      </c>
      <c r="L489" t="s">
        <v>35</v>
      </c>
      <c r="M489" s="6" t="s">
        <v>5091</v>
      </c>
      <c r="P489" s="35"/>
      <c r="Q489" t="s">
        <v>35</v>
      </c>
      <c r="R489" t="s">
        <v>1991</v>
      </c>
      <c r="S489" s="6" t="s">
        <v>6249</v>
      </c>
      <c r="T489" s="43" t="s">
        <v>474</v>
      </c>
      <c r="U489" s="43" t="s">
        <v>1086</v>
      </c>
      <c r="V489" t="s">
        <v>1151</v>
      </c>
      <c r="W489" s="57"/>
      <c r="X489" s="57"/>
      <c r="Y489" t="s">
        <v>640</v>
      </c>
      <c r="Z489" s="39"/>
      <c r="AA489" s="39"/>
      <c r="AB489" t="s">
        <v>62</v>
      </c>
      <c r="AC489" s="42">
        <v>43983</v>
      </c>
      <c r="AD489" s="42">
        <v>44348</v>
      </c>
      <c r="AE489" s="53" t="s">
        <v>51</v>
      </c>
      <c r="AF489" s="54" t="s">
        <v>35</v>
      </c>
      <c r="AG489" s="54"/>
      <c r="AH489" s="39" t="s">
        <v>52</v>
      </c>
      <c r="AI489" s="39" t="s">
        <v>52</v>
      </c>
    </row>
    <row r="490" spans="1:35" ht="17" x14ac:dyDescent="0.2">
      <c r="A490">
        <v>158</v>
      </c>
      <c r="B490">
        <v>219</v>
      </c>
      <c r="C490" t="s">
        <v>5260</v>
      </c>
      <c r="D490" s="39" t="s">
        <v>1478</v>
      </c>
      <c r="E490" s="39" t="s">
        <v>1479</v>
      </c>
      <c r="F490" s="39" t="s">
        <v>35</v>
      </c>
      <c r="G490" s="39" t="s">
        <v>205</v>
      </c>
      <c r="H490" s="34"/>
      <c r="I490" s="39" t="s">
        <v>1480</v>
      </c>
      <c r="J490" s="39" t="s">
        <v>35</v>
      </c>
      <c r="K490" t="s">
        <v>1481</v>
      </c>
      <c r="L490" t="s">
        <v>1482</v>
      </c>
      <c r="M490" s="6" t="s">
        <v>6067</v>
      </c>
      <c r="N490" s="37" t="s">
        <v>59</v>
      </c>
      <c r="O490" t="s">
        <v>49</v>
      </c>
      <c r="P490" s="35" t="s">
        <v>50</v>
      </c>
      <c r="Q490" t="s">
        <v>558</v>
      </c>
      <c r="R490" t="s">
        <v>1483</v>
      </c>
      <c r="S490" s="6" t="s">
        <v>3706</v>
      </c>
      <c r="T490" s="43" t="s">
        <v>1484</v>
      </c>
      <c r="U490" s="43" t="s">
        <v>1485</v>
      </c>
      <c r="V490" t="s">
        <v>49</v>
      </c>
      <c r="W490" s="57"/>
      <c r="X490" s="57"/>
      <c r="Y490" t="s">
        <v>50</v>
      </c>
      <c r="Z490" s="39"/>
      <c r="AA490" s="39"/>
      <c r="AB490" t="s">
        <v>558</v>
      </c>
      <c r="AC490" s="42">
        <v>36655</v>
      </c>
      <c r="AD490" s="42">
        <v>37313</v>
      </c>
      <c r="AE490" s="53" t="s">
        <v>51</v>
      </c>
      <c r="AF490" s="54" t="s">
        <v>35</v>
      </c>
      <c r="AG490" s="54"/>
      <c r="AH490" s="39" t="s">
        <v>52</v>
      </c>
      <c r="AI490" s="39" t="s">
        <v>52</v>
      </c>
    </row>
    <row r="491" spans="1:35" ht="17" x14ac:dyDescent="0.2">
      <c r="A491">
        <v>68</v>
      </c>
      <c r="B491">
        <v>462</v>
      </c>
      <c r="C491" t="s">
        <v>5264</v>
      </c>
      <c r="D491" s="39" t="s">
        <v>2682</v>
      </c>
      <c r="E491" s="39" t="s">
        <v>2683</v>
      </c>
      <c r="F491" s="39" t="s">
        <v>35</v>
      </c>
      <c r="G491" s="39" t="s">
        <v>194</v>
      </c>
      <c r="H491" s="34"/>
      <c r="I491" s="39" t="s">
        <v>35</v>
      </c>
      <c r="J491" s="39" t="s">
        <v>35</v>
      </c>
      <c r="K491" t="s">
        <v>2684</v>
      </c>
      <c r="L491" t="s">
        <v>2685</v>
      </c>
      <c r="M491" s="6" t="s">
        <v>6068</v>
      </c>
      <c r="N491" t="s">
        <v>59</v>
      </c>
      <c r="O491" t="s">
        <v>2686</v>
      </c>
      <c r="P491" s="35" t="s">
        <v>50</v>
      </c>
      <c r="Q491" t="s">
        <v>44</v>
      </c>
      <c r="S491" s="6" t="s">
        <v>5231</v>
      </c>
      <c r="T491" s="43" t="s">
        <v>35</v>
      </c>
      <c r="U491" s="43" t="s">
        <v>35</v>
      </c>
      <c r="W491" s="57"/>
      <c r="X491" s="57"/>
      <c r="Z491" s="39"/>
      <c r="AA491" s="39"/>
      <c r="AB491" t="s">
        <v>35</v>
      </c>
      <c r="AC491" s="42">
        <v>33419</v>
      </c>
      <c r="AD491" s="42">
        <v>34233</v>
      </c>
      <c r="AE491" s="53" t="s">
        <v>51</v>
      </c>
      <c r="AF491" s="54" t="s">
        <v>35</v>
      </c>
      <c r="AG491" s="54"/>
      <c r="AH491" s="39" t="s">
        <v>52</v>
      </c>
      <c r="AI491" s="39" t="s">
        <v>52</v>
      </c>
    </row>
    <row r="492" spans="1:35" ht="17" x14ac:dyDescent="0.2">
      <c r="A492">
        <v>209</v>
      </c>
      <c r="B492">
        <v>185</v>
      </c>
      <c r="C492" t="s">
        <v>5268</v>
      </c>
      <c r="D492" s="39" t="s">
        <v>1293</v>
      </c>
      <c r="E492" s="39" t="s">
        <v>1294</v>
      </c>
      <c r="F492" s="39" t="s">
        <v>35</v>
      </c>
      <c r="G492" s="39" t="s">
        <v>82</v>
      </c>
      <c r="I492" s="39" t="s">
        <v>1295</v>
      </c>
      <c r="J492" s="39" t="s">
        <v>35</v>
      </c>
      <c r="K492" t="s">
        <v>1296</v>
      </c>
      <c r="L492" s="49" t="s">
        <v>1297</v>
      </c>
      <c r="M492" s="6" t="s">
        <v>3655</v>
      </c>
      <c r="N492" s="36" t="s">
        <v>86</v>
      </c>
      <c r="O492" t="s">
        <v>1298</v>
      </c>
      <c r="P492" s="35" t="s">
        <v>99</v>
      </c>
      <c r="Q492" t="s">
        <v>35</v>
      </c>
      <c r="R492" t="s">
        <v>1299</v>
      </c>
      <c r="S492" s="6" t="s">
        <v>4880</v>
      </c>
      <c r="T492" s="43" t="s">
        <v>935</v>
      </c>
      <c r="U492" s="43" t="s">
        <v>1300</v>
      </c>
      <c r="V492" t="s">
        <v>1301</v>
      </c>
      <c r="W492" s="57" t="s">
        <v>1302</v>
      </c>
      <c r="X492" s="57"/>
      <c r="Y492" t="s">
        <v>99</v>
      </c>
      <c r="Z492" s="39" t="s">
        <v>99</v>
      </c>
      <c r="AA492" s="39"/>
      <c r="AB492" t="s">
        <v>44</v>
      </c>
      <c r="AC492" s="42">
        <v>37387</v>
      </c>
      <c r="AD492" s="42">
        <v>38007</v>
      </c>
      <c r="AE492" s="53" t="s">
        <v>691</v>
      </c>
      <c r="AF492" s="54" t="s">
        <v>35</v>
      </c>
      <c r="AG492" s="54"/>
      <c r="AH492" s="39" t="s">
        <v>52</v>
      </c>
      <c r="AI492" s="39" t="s">
        <v>70</v>
      </c>
    </row>
    <row r="493" spans="1:35" ht="17" x14ac:dyDescent="0.2">
      <c r="A493">
        <v>31</v>
      </c>
      <c r="B493">
        <v>272</v>
      </c>
      <c r="C493" t="s">
        <v>5274</v>
      </c>
      <c r="D493" s="39" t="s">
        <v>1747</v>
      </c>
      <c r="E493" s="39" t="s">
        <v>1748</v>
      </c>
      <c r="F493" s="39" t="s">
        <v>35</v>
      </c>
      <c r="G493" s="39" t="s">
        <v>139</v>
      </c>
      <c r="I493" s="39" t="s">
        <v>35</v>
      </c>
      <c r="J493" s="39" t="s">
        <v>35</v>
      </c>
      <c r="K493" t="s">
        <v>1749</v>
      </c>
      <c r="L493" t="s">
        <v>1750</v>
      </c>
      <c r="M493" s="6" t="s">
        <v>5091</v>
      </c>
      <c r="N493" t="s">
        <v>59</v>
      </c>
      <c r="O493" t="s">
        <v>49</v>
      </c>
      <c r="P493" s="35"/>
      <c r="Q493" t="s">
        <v>76</v>
      </c>
      <c r="R493" t="s">
        <v>1751</v>
      </c>
      <c r="S493" s="6" t="s">
        <v>3555</v>
      </c>
      <c r="T493" s="43" t="s">
        <v>89</v>
      </c>
      <c r="U493" s="43" t="s">
        <v>246</v>
      </c>
      <c r="V493" t="s">
        <v>49</v>
      </c>
      <c r="W493" s="57"/>
      <c r="X493" s="57"/>
      <c r="Y493" t="s">
        <v>50</v>
      </c>
      <c r="Z493" s="39"/>
      <c r="AA493" s="39"/>
      <c r="AB493" t="s">
        <v>76</v>
      </c>
      <c r="AC493" s="42">
        <v>33240</v>
      </c>
      <c r="AD493" s="42">
        <v>33602</v>
      </c>
      <c r="AE493" s="53" t="s">
        <v>51</v>
      </c>
      <c r="AF493" s="54" t="s">
        <v>35</v>
      </c>
      <c r="AG493" s="54"/>
      <c r="AH493" s="39" t="s">
        <v>52</v>
      </c>
      <c r="AI493" s="39" t="s">
        <v>52</v>
      </c>
    </row>
    <row r="494" spans="1:35" ht="16.25" customHeight="1" x14ac:dyDescent="0.2">
      <c r="A494">
        <v>63</v>
      </c>
      <c r="B494">
        <v>296</v>
      </c>
      <c r="C494" t="s">
        <v>5280</v>
      </c>
      <c r="D494" s="39" t="s">
        <v>1868</v>
      </c>
      <c r="E494" s="39" t="s">
        <v>1748</v>
      </c>
      <c r="F494" s="39" t="s">
        <v>35</v>
      </c>
      <c r="G494" s="39" t="s">
        <v>139</v>
      </c>
      <c r="I494" s="39" t="s">
        <v>1869</v>
      </c>
      <c r="J494" s="39" t="s">
        <v>35</v>
      </c>
      <c r="K494" t="s">
        <v>1870</v>
      </c>
      <c r="L494" t="s">
        <v>1871</v>
      </c>
      <c r="M494" s="6" t="s">
        <v>5119</v>
      </c>
      <c r="N494" t="s">
        <v>59</v>
      </c>
      <c r="O494" t="s">
        <v>49</v>
      </c>
      <c r="P494" s="35" t="s">
        <v>50</v>
      </c>
      <c r="Q494" t="s">
        <v>180</v>
      </c>
      <c r="S494" s="6" t="s">
        <v>355</v>
      </c>
      <c r="T494" s="43" t="s">
        <v>35</v>
      </c>
      <c r="U494" s="43" t="s">
        <v>35</v>
      </c>
      <c r="W494" s="57"/>
      <c r="X494" s="57"/>
      <c r="Z494" s="39"/>
      <c r="AA494" s="39"/>
      <c r="AB494" t="s">
        <v>35</v>
      </c>
      <c r="AC494" s="42">
        <v>33419</v>
      </c>
      <c r="AD494" s="42">
        <v>34233</v>
      </c>
      <c r="AE494" s="53" t="s">
        <v>51</v>
      </c>
      <c r="AF494" s="54" t="s">
        <v>35</v>
      </c>
      <c r="AG494" s="54"/>
      <c r="AH494" s="39" t="s">
        <v>52</v>
      </c>
      <c r="AI494" s="39" t="s">
        <v>52</v>
      </c>
    </row>
    <row r="495" spans="1:35" ht="17" x14ac:dyDescent="0.2">
      <c r="A495">
        <v>50</v>
      </c>
      <c r="B495">
        <v>465</v>
      </c>
      <c r="C495" t="s">
        <v>5284</v>
      </c>
      <c r="D495" s="39" t="s">
        <v>2696</v>
      </c>
      <c r="E495" s="39" t="s">
        <v>1748</v>
      </c>
      <c r="F495" s="39" t="s">
        <v>35</v>
      </c>
      <c r="G495" s="39" t="s">
        <v>194</v>
      </c>
      <c r="I495" s="39" t="s">
        <v>2697</v>
      </c>
      <c r="J495" s="39" t="s">
        <v>35</v>
      </c>
      <c r="K495" t="s">
        <v>2698</v>
      </c>
      <c r="L495" t="s">
        <v>1004</v>
      </c>
      <c r="M495" s="6" t="s">
        <v>6069</v>
      </c>
      <c r="N495" t="s">
        <v>41</v>
      </c>
      <c r="O495" t="s">
        <v>49</v>
      </c>
      <c r="P495" s="35" t="s">
        <v>50</v>
      </c>
      <c r="Q495" t="s">
        <v>44</v>
      </c>
      <c r="R495" t="s">
        <v>2699</v>
      </c>
      <c r="S495" s="6" t="s">
        <v>6250</v>
      </c>
      <c r="T495" s="43" t="s">
        <v>2126</v>
      </c>
      <c r="U495" s="43" t="s">
        <v>35</v>
      </c>
      <c r="W495" s="57"/>
      <c r="X495" s="57"/>
      <c r="Z495" s="39"/>
      <c r="AA495" s="39"/>
      <c r="AB495" t="s">
        <v>44</v>
      </c>
      <c r="AC495" s="42">
        <v>33240</v>
      </c>
      <c r="AD495" s="42">
        <v>33602</v>
      </c>
      <c r="AE495" s="53" t="s">
        <v>51</v>
      </c>
      <c r="AF495" s="54" t="s">
        <v>35</v>
      </c>
      <c r="AG495" s="54"/>
      <c r="AH495" s="39" t="s">
        <v>52</v>
      </c>
      <c r="AI495" s="39" t="s">
        <v>52</v>
      </c>
    </row>
    <row r="496" spans="1:35" ht="17" x14ac:dyDescent="0.2">
      <c r="A496">
        <v>70</v>
      </c>
      <c r="B496">
        <v>485</v>
      </c>
      <c r="C496" t="s">
        <v>5288</v>
      </c>
      <c r="D496" s="39" t="s">
        <v>2785</v>
      </c>
      <c r="E496" s="39" t="s">
        <v>1748</v>
      </c>
      <c r="F496" s="39" t="s">
        <v>35</v>
      </c>
      <c r="G496" s="39" t="s">
        <v>194</v>
      </c>
      <c r="H496" s="34"/>
      <c r="I496" s="39" t="s">
        <v>35</v>
      </c>
      <c r="J496" s="39" t="s">
        <v>35</v>
      </c>
      <c r="K496" t="s">
        <v>35</v>
      </c>
      <c r="M496" s="6" t="s">
        <v>6070</v>
      </c>
      <c r="P496" s="35"/>
      <c r="Q496" t="s">
        <v>35</v>
      </c>
      <c r="S496" s="6" t="s">
        <v>6251</v>
      </c>
      <c r="T496" s="43" t="s">
        <v>35</v>
      </c>
      <c r="U496" s="43" t="s">
        <v>35</v>
      </c>
      <c r="W496" s="57"/>
      <c r="X496" s="57"/>
      <c r="AB496" t="s">
        <v>35</v>
      </c>
      <c r="AC496" s="42">
        <v>33419</v>
      </c>
      <c r="AD496" s="42">
        <v>34233</v>
      </c>
      <c r="AE496" s="53" t="s">
        <v>51</v>
      </c>
      <c r="AF496" s="54" t="s">
        <v>35</v>
      </c>
      <c r="AG496" s="54"/>
      <c r="AH496" s="39" t="s">
        <v>52</v>
      </c>
      <c r="AI496" s="39" t="s">
        <v>52</v>
      </c>
    </row>
    <row r="497" spans="1:35" ht="17" x14ac:dyDescent="0.2">
      <c r="A497">
        <v>17</v>
      </c>
      <c r="B497">
        <v>34</v>
      </c>
      <c r="C497" t="s">
        <v>5289</v>
      </c>
      <c r="D497" s="39" t="s">
        <v>340</v>
      </c>
      <c r="E497" s="39" t="s">
        <v>341</v>
      </c>
      <c r="F497" s="39" t="s">
        <v>35</v>
      </c>
      <c r="G497" s="39" t="s">
        <v>194</v>
      </c>
      <c r="I497" s="39" t="s">
        <v>342</v>
      </c>
      <c r="J497" s="39" t="s">
        <v>35</v>
      </c>
      <c r="K497" t="s">
        <v>343</v>
      </c>
      <c r="L497" t="s">
        <v>344</v>
      </c>
      <c r="M497" s="6" t="s">
        <v>4683</v>
      </c>
      <c r="N497" t="s">
        <v>345</v>
      </c>
      <c r="O497" t="s">
        <v>346</v>
      </c>
      <c r="P497" s="35" t="s">
        <v>50</v>
      </c>
      <c r="Q497" t="s">
        <v>44</v>
      </c>
      <c r="S497" s="6" t="s">
        <v>6252</v>
      </c>
      <c r="T497" s="43" t="s">
        <v>35</v>
      </c>
      <c r="U497" s="43" t="s">
        <v>35</v>
      </c>
      <c r="W497" s="57"/>
      <c r="X497" s="57"/>
      <c r="Z497" s="39"/>
      <c r="AA497" s="39"/>
      <c r="AB497" t="s">
        <v>35</v>
      </c>
      <c r="AC497" s="42">
        <v>33240</v>
      </c>
      <c r="AD497" s="42">
        <v>33602</v>
      </c>
      <c r="AE497" s="53" t="s">
        <v>51</v>
      </c>
      <c r="AF497" s="54" t="s">
        <v>35</v>
      </c>
      <c r="AG497" s="54"/>
      <c r="AH497" s="39" t="s">
        <v>52</v>
      </c>
      <c r="AI497" s="39" t="s">
        <v>52</v>
      </c>
    </row>
    <row r="498" spans="1:35" ht="17" x14ac:dyDescent="0.2">
      <c r="A498">
        <v>234</v>
      </c>
      <c r="B498">
        <v>177</v>
      </c>
      <c r="C498" t="s">
        <v>5291</v>
      </c>
      <c r="D498" s="39" t="s">
        <v>1246</v>
      </c>
      <c r="E498" s="39" t="s">
        <v>341</v>
      </c>
      <c r="F498" s="39" t="s">
        <v>35</v>
      </c>
      <c r="G498" s="39" t="s">
        <v>82</v>
      </c>
      <c r="H498" s="34"/>
      <c r="I498" s="39" t="s">
        <v>1247</v>
      </c>
      <c r="J498" s="39" t="s">
        <v>35</v>
      </c>
      <c r="K498" t="s">
        <v>1248</v>
      </c>
      <c r="L498" s="49" t="s">
        <v>1249</v>
      </c>
      <c r="M498" s="6" t="s">
        <v>35</v>
      </c>
      <c r="N498" t="s">
        <v>59</v>
      </c>
      <c r="O498" t="s">
        <v>1250</v>
      </c>
      <c r="P498" s="35"/>
      <c r="Q498" t="s">
        <v>87</v>
      </c>
      <c r="R498" t="s">
        <v>1251</v>
      </c>
      <c r="S498" s="6" t="s">
        <v>6253</v>
      </c>
      <c r="T498" s="43" t="s">
        <v>1252</v>
      </c>
      <c r="U498" s="43" t="s">
        <v>451</v>
      </c>
      <c r="V498" t="s">
        <v>1250</v>
      </c>
      <c r="W498" s="57"/>
      <c r="X498" s="57"/>
      <c r="Y498" t="s">
        <v>1253</v>
      </c>
      <c r="Z498" s="39"/>
      <c r="AA498" s="39"/>
      <c r="AB498" t="s">
        <v>87</v>
      </c>
      <c r="AC498" s="42">
        <v>37797</v>
      </c>
      <c r="AD498" s="42">
        <v>38356</v>
      </c>
      <c r="AE498" s="53" t="s">
        <v>69</v>
      </c>
      <c r="AF498" s="54" t="s">
        <v>35</v>
      </c>
      <c r="AG498" s="54"/>
      <c r="AH498" s="39" t="s">
        <v>52</v>
      </c>
      <c r="AI498" s="39" t="s">
        <v>70</v>
      </c>
    </row>
    <row r="499" spans="1:35" ht="17" x14ac:dyDescent="0.2">
      <c r="A499">
        <v>359</v>
      </c>
      <c r="B499">
        <v>206</v>
      </c>
      <c r="C499" t="s">
        <v>5297</v>
      </c>
      <c r="D499" s="39" t="s">
        <v>1401</v>
      </c>
      <c r="E499" s="39" t="s">
        <v>341</v>
      </c>
      <c r="F499" s="39" t="s">
        <v>35</v>
      </c>
      <c r="G499" s="39" t="s">
        <v>160</v>
      </c>
      <c r="I499" s="39" t="s">
        <v>1402</v>
      </c>
      <c r="J499" s="39" t="s">
        <v>35</v>
      </c>
      <c r="K499" t="s">
        <v>1403</v>
      </c>
      <c r="L499" t="s">
        <v>1404</v>
      </c>
      <c r="M499" s="6" t="s">
        <v>6071</v>
      </c>
      <c r="N499" t="s">
        <v>86</v>
      </c>
      <c r="O499" t="s">
        <v>123</v>
      </c>
      <c r="P499" s="35" t="s">
        <v>99</v>
      </c>
      <c r="Q499" t="s">
        <v>87</v>
      </c>
      <c r="R499" t="s">
        <v>1405</v>
      </c>
      <c r="S499" s="6" t="s">
        <v>3489</v>
      </c>
      <c r="T499" s="43" t="s">
        <v>164</v>
      </c>
      <c r="U499" s="43" t="s">
        <v>409</v>
      </c>
      <c r="V499" t="s">
        <v>123</v>
      </c>
      <c r="W499" s="57"/>
      <c r="X499" s="57"/>
      <c r="Y499" t="s">
        <v>99</v>
      </c>
      <c r="Z499" s="39"/>
      <c r="AA499" s="39"/>
      <c r="AB499" t="s">
        <v>44</v>
      </c>
      <c r="AC499" s="42">
        <v>41310</v>
      </c>
      <c r="AD499" s="42">
        <v>41680</v>
      </c>
      <c r="AE499" s="53" t="s">
        <v>730</v>
      </c>
      <c r="AF499" s="54" t="s">
        <v>35</v>
      </c>
      <c r="AG499" s="54"/>
      <c r="AH499" s="39" t="s">
        <v>52</v>
      </c>
      <c r="AI499" s="39" t="s">
        <v>70</v>
      </c>
    </row>
    <row r="500" spans="1:35" ht="17" x14ac:dyDescent="0.2">
      <c r="A500">
        <v>62</v>
      </c>
      <c r="B500">
        <v>279</v>
      </c>
      <c r="C500" t="s">
        <v>5300</v>
      </c>
      <c r="D500" s="39" t="s">
        <v>1777</v>
      </c>
      <c r="E500" s="39" t="s">
        <v>341</v>
      </c>
      <c r="F500" s="39" t="s">
        <v>35</v>
      </c>
      <c r="G500" s="39" t="s">
        <v>194</v>
      </c>
      <c r="I500" s="39" t="s">
        <v>1778</v>
      </c>
      <c r="J500" s="39" t="s">
        <v>1779</v>
      </c>
      <c r="K500" t="s">
        <v>1780</v>
      </c>
      <c r="L500" t="s">
        <v>1781</v>
      </c>
      <c r="M500" s="6" t="s">
        <v>5267</v>
      </c>
      <c r="N500" t="s">
        <v>59</v>
      </c>
      <c r="O500" t="s">
        <v>49</v>
      </c>
      <c r="P500" s="35" t="s">
        <v>50</v>
      </c>
      <c r="Q500" t="s">
        <v>180</v>
      </c>
      <c r="R500" t="s">
        <v>1782</v>
      </c>
      <c r="S500" s="6" t="s">
        <v>35</v>
      </c>
      <c r="T500" s="43" t="s">
        <v>1783</v>
      </c>
      <c r="U500" s="43" t="s">
        <v>1203</v>
      </c>
      <c r="V500" t="s">
        <v>49</v>
      </c>
      <c r="W500" s="57"/>
      <c r="X500" s="57"/>
      <c r="Y500" t="s">
        <v>50</v>
      </c>
      <c r="Z500" s="39"/>
      <c r="AA500" s="39"/>
      <c r="AB500" t="s">
        <v>180</v>
      </c>
      <c r="AC500" s="42">
        <v>33419</v>
      </c>
      <c r="AD500" s="42">
        <v>34233</v>
      </c>
      <c r="AE500" s="53" t="s">
        <v>51</v>
      </c>
      <c r="AF500" s="54" t="s">
        <v>35</v>
      </c>
      <c r="AG500" s="54"/>
      <c r="AH500" s="39" t="s">
        <v>52</v>
      </c>
      <c r="AI500" s="39" t="s">
        <v>52</v>
      </c>
    </row>
    <row r="501" spans="1:35" ht="17" x14ac:dyDescent="0.2">
      <c r="A501">
        <v>3</v>
      </c>
      <c r="B501">
        <v>380</v>
      </c>
      <c r="C501" t="s">
        <v>5303</v>
      </c>
      <c r="D501" s="39" t="s">
        <v>2305</v>
      </c>
      <c r="E501" s="39" t="s">
        <v>341</v>
      </c>
      <c r="F501" s="39" t="s">
        <v>35</v>
      </c>
      <c r="G501" s="39" t="s">
        <v>139</v>
      </c>
      <c r="H501" s="34"/>
      <c r="I501" s="39" t="s">
        <v>35</v>
      </c>
      <c r="J501" s="39" t="s">
        <v>35</v>
      </c>
      <c r="K501" t="s">
        <v>2306</v>
      </c>
      <c r="L501" t="s">
        <v>2307</v>
      </c>
      <c r="M501" s="6" t="s">
        <v>6072</v>
      </c>
      <c r="N501" t="s">
        <v>59</v>
      </c>
      <c r="O501" t="s">
        <v>49</v>
      </c>
      <c r="P501" s="35" t="s">
        <v>50</v>
      </c>
      <c r="Q501" t="s">
        <v>35</v>
      </c>
      <c r="R501" t="s">
        <v>2308</v>
      </c>
      <c r="S501" s="6" t="s">
        <v>6254</v>
      </c>
      <c r="T501" s="43" t="s">
        <v>114</v>
      </c>
      <c r="U501" s="43" t="s">
        <v>713</v>
      </c>
      <c r="V501" t="s">
        <v>49</v>
      </c>
      <c r="W501" s="57"/>
      <c r="X501" s="57"/>
      <c r="Y501" t="s">
        <v>50</v>
      </c>
      <c r="Z501" s="39"/>
      <c r="AA501" s="39"/>
      <c r="AB501" t="s">
        <v>62</v>
      </c>
      <c r="AC501" s="42">
        <v>32464</v>
      </c>
      <c r="AD501" s="42">
        <v>34233</v>
      </c>
      <c r="AE501" s="53" t="s">
        <v>68</v>
      </c>
      <c r="AF501" s="54" t="s">
        <v>35</v>
      </c>
      <c r="AG501" s="54"/>
      <c r="AH501" s="39" t="s">
        <v>70</v>
      </c>
      <c r="AI501" s="39" t="s">
        <v>52</v>
      </c>
    </row>
    <row r="502" spans="1:35" ht="17" x14ac:dyDescent="0.2">
      <c r="A502">
        <v>10</v>
      </c>
      <c r="B502">
        <v>424</v>
      </c>
      <c r="C502" t="s">
        <v>5308</v>
      </c>
      <c r="D502" s="39" t="s">
        <v>2524</v>
      </c>
      <c r="E502" s="39" t="s">
        <v>341</v>
      </c>
      <c r="F502" s="39" t="s">
        <v>35</v>
      </c>
      <c r="G502" s="39" t="s">
        <v>139</v>
      </c>
      <c r="H502" s="34"/>
      <c r="I502" s="39" t="s">
        <v>35</v>
      </c>
      <c r="J502" s="39" t="s">
        <v>35</v>
      </c>
      <c r="L502" t="s">
        <v>35</v>
      </c>
      <c r="M502" s="6" t="s">
        <v>6073</v>
      </c>
      <c r="P502" s="35"/>
      <c r="Q502" t="s">
        <v>35</v>
      </c>
      <c r="S502" s="6" t="s">
        <v>6255</v>
      </c>
      <c r="T502" s="43" t="s">
        <v>35</v>
      </c>
      <c r="U502" s="43" t="s">
        <v>35</v>
      </c>
      <c r="W502" s="57"/>
      <c r="X502" s="57"/>
      <c r="Z502" s="39"/>
      <c r="AA502" s="39"/>
      <c r="AB502" t="s">
        <v>35</v>
      </c>
      <c r="AC502" s="42">
        <v>32596</v>
      </c>
      <c r="AD502" s="42">
        <v>34233</v>
      </c>
      <c r="AE502" s="53" t="s">
        <v>239</v>
      </c>
      <c r="AF502" s="54" t="s">
        <v>35</v>
      </c>
      <c r="AG502" s="54"/>
      <c r="AH502" s="39" t="s">
        <v>70</v>
      </c>
      <c r="AI502" s="39" t="s">
        <v>52</v>
      </c>
    </row>
    <row r="503" spans="1:35" ht="17" x14ac:dyDescent="0.2">
      <c r="A503">
        <v>56</v>
      </c>
      <c r="B503">
        <v>600</v>
      </c>
      <c r="C503" t="s">
        <v>5309</v>
      </c>
      <c r="D503" s="39" t="s">
        <v>3348</v>
      </c>
      <c r="E503" s="39" t="s">
        <v>341</v>
      </c>
      <c r="F503" s="39" t="s">
        <v>35</v>
      </c>
      <c r="G503" s="39" t="s">
        <v>194</v>
      </c>
      <c r="H503" s="34"/>
      <c r="I503" s="39" t="s">
        <v>35</v>
      </c>
      <c r="J503" s="39" t="s">
        <v>35</v>
      </c>
      <c r="K503" t="s">
        <v>35</v>
      </c>
      <c r="M503" s="6" t="s">
        <v>6074</v>
      </c>
      <c r="P503" s="35"/>
      <c r="Q503" t="s">
        <v>35</v>
      </c>
      <c r="S503" s="6" t="s">
        <v>35</v>
      </c>
      <c r="T503" s="43" t="s">
        <v>35</v>
      </c>
      <c r="U503" s="43" t="s">
        <v>35</v>
      </c>
      <c r="W503" s="57"/>
      <c r="X503" s="57"/>
      <c r="Z503" s="39"/>
      <c r="AA503" s="39"/>
      <c r="AB503" t="s">
        <v>35</v>
      </c>
      <c r="AC503" s="42">
        <v>33240</v>
      </c>
      <c r="AD503" s="42">
        <v>34233</v>
      </c>
      <c r="AE503" s="53" t="s">
        <v>51</v>
      </c>
      <c r="AF503" s="54" t="s">
        <v>35</v>
      </c>
      <c r="AG503" s="54"/>
      <c r="AH503" s="39" t="s">
        <v>52</v>
      </c>
      <c r="AI503" s="39" t="s">
        <v>52</v>
      </c>
    </row>
    <row r="504" spans="1:35" ht="17" x14ac:dyDescent="0.2">
      <c r="A504" t="s">
        <v>35</v>
      </c>
      <c r="B504">
        <v>137</v>
      </c>
      <c r="C504" t="s">
        <v>5779</v>
      </c>
      <c r="D504" s="39" t="s">
        <v>1028</v>
      </c>
      <c r="E504" s="39" t="s">
        <v>1029</v>
      </c>
      <c r="F504" s="39" t="s">
        <v>1030</v>
      </c>
      <c r="G504" s="39" t="s">
        <v>205</v>
      </c>
      <c r="I504" s="39" t="s">
        <v>1031</v>
      </c>
      <c r="J504" s="39" t="s">
        <v>35</v>
      </c>
      <c r="K504" t="s">
        <v>1032</v>
      </c>
      <c r="L504" s="49" t="s">
        <v>1033</v>
      </c>
      <c r="M504" s="6" t="s">
        <v>6075</v>
      </c>
      <c r="N504" t="s">
        <v>86</v>
      </c>
      <c r="O504" t="s">
        <v>49</v>
      </c>
      <c r="P504" s="35" t="s">
        <v>50</v>
      </c>
      <c r="Q504" t="s">
        <v>62</v>
      </c>
      <c r="R504" t="s">
        <v>1034</v>
      </c>
      <c r="S504" s="6" t="s">
        <v>6256</v>
      </c>
      <c r="T504" s="43" t="s">
        <v>713</v>
      </c>
      <c r="U504" s="43" t="s">
        <v>324</v>
      </c>
      <c r="V504" t="s">
        <v>49</v>
      </c>
      <c r="W504" s="57"/>
      <c r="X504" s="57"/>
      <c r="Y504" t="s">
        <v>50</v>
      </c>
      <c r="Z504" s="39"/>
      <c r="AA504" s="39"/>
      <c r="AB504" t="s">
        <v>62</v>
      </c>
      <c r="AC504" s="42">
        <v>35104</v>
      </c>
      <c r="AD504" s="42">
        <v>35394</v>
      </c>
      <c r="AE504" s="53" t="s">
        <v>116</v>
      </c>
      <c r="AF504" s="54" t="s">
        <v>35</v>
      </c>
      <c r="AG504" s="54"/>
      <c r="AH504" s="39" t="s">
        <v>70</v>
      </c>
      <c r="AI504" s="39" t="s">
        <v>52</v>
      </c>
    </row>
    <row r="505" spans="1:35" ht="15.5" customHeight="1" x14ac:dyDescent="0.2">
      <c r="A505">
        <v>171</v>
      </c>
      <c r="B505">
        <v>71</v>
      </c>
      <c r="C505" t="s">
        <v>5315</v>
      </c>
      <c r="D505" s="39" t="s">
        <v>590</v>
      </c>
      <c r="E505" s="39" t="s">
        <v>591</v>
      </c>
      <c r="F505" s="39" t="s">
        <v>35</v>
      </c>
      <c r="G505" s="39" t="s">
        <v>205</v>
      </c>
      <c r="I505" s="39" t="s">
        <v>592</v>
      </c>
      <c r="J505" s="39" t="s">
        <v>35</v>
      </c>
      <c r="K505" t="s">
        <v>593</v>
      </c>
      <c r="L505" s="49" t="s">
        <v>594</v>
      </c>
      <c r="M505" s="6" t="s">
        <v>35</v>
      </c>
      <c r="N505" s="36" t="s">
        <v>86</v>
      </c>
      <c r="O505" t="s">
        <v>49</v>
      </c>
      <c r="P505" s="35" t="s">
        <v>50</v>
      </c>
      <c r="Q505" t="s">
        <v>115</v>
      </c>
      <c r="R505" t="s">
        <v>595</v>
      </c>
      <c r="S505" s="6" t="s">
        <v>35</v>
      </c>
      <c r="T505" s="43" t="s">
        <v>308</v>
      </c>
      <c r="U505" s="43" t="s">
        <v>47</v>
      </c>
      <c r="W505" s="57"/>
      <c r="X505" s="57"/>
      <c r="Z505" s="39"/>
      <c r="AA505" s="39"/>
      <c r="AB505" t="s">
        <v>115</v>
      </c>
      <c r="AC505" s="42">
        <v>36655</v>
      </c>
      <c r="AD505" s="42">
        <v>38007</v>
      </c>
      <c r="AE505" s="53" t="s">
        <v>51</v>
      </c>
      <c r="AF505" s="54" t="s">
        <v>35</v>
      </c>
      <c r="AG505" s="54"/>
      <c r="AH505" s="39" t="s">
        <v>52</v>
      </c>
      <c r="AI505" s="39" t="s">
        <v>52</v>
      </c>
    </row>
    <row r="506" spans="1:35" ht="17" x14ac:dyDescent="0.2">
      <c r="A506">
        <v>532</v>
      </c>
      <c r="B506">
        <v>295</v>
      </c>
      <c r="C506" t="s">
        <v>5322</v>
      </c>
      <c r="D506" s="39" t="s">
        <v>1864</v>
      </c>
      <c r="E506" s="39" t="s">
        <v>591</v>
      </c>
      <c r="F506" s="39" t="s">
        <v>35</v>
      </c>
      <c r="G506" s="39" t="s">
        <v>36</v>
      </c>
      <c r="I506" s="39" t="s">
        <v>1865</v>
      </c>
      <c r="J506" s="39" t="s">
        <v>35</v>
      </c>
      <c r="K506" t="s">
        <v>1866</v>
      </c>
      <c r="L506" t="s">
        <v>1867</v>
      </c>
      <c r="M506" s="6" t="s">
        <v>6076</v>
      </c>
      <c r="N506" t="s">
        <v>97</v>
      </c>
      <c r="O506" t="s">
        <v>49</v>
      </c>
      <c r="P506" s="35" t="s">
        <v>50</v>
      </c>
      <c r="Q506" t="s">
        <v>44</v>
      </c>
      <c r="R506" t="s">
        <v>816</v>
      </c>
      <c r="S506" s="6" t="s">
        <v>35</v>
      </c>
      <c r="T506" s="43" t="s">
        <v>246</v>
      </c>
      <c r="U506" s="43" t="s">
        <v>1279</v>
      </c>
      <c r="V506" t="s">
        <v>49</v>
      </c>
      <c r="W506" s="57"/>
      <c r="X506" s="57"/>
      <c r="Y506" t="s">
        <v>50</v>
      </c>
      <c r="Z506" s="39"/>
      <c r="AA506" s="39"/>
      <c r="AB506" t="s">
        <v>44</v>
      </c>
      <c r="AC506" s="42">
        <v>43862</v>
      </c>
      <c r="AD506" s="42">
        <v>44500</v>
      </c>
      <c r="AE506" s="53" t="s">
        <v>51</v>
      </c>
      <c r="AF506" s="54" t="s">
        <v>35</v>
      </c>
      <c r="AG506" s="54"/>
      <c r="AH506" s="39" t="s">
        <v>52</v>
      </c>
      <c r="AI506" s="39" t="s">
        <v>52</v>
      </c>
    </row>
    <row r="507" spans="1:35" ht="17" x14ac:dyDescent="0.2">
      <c r="A507">
        <v>42</v>
      </c>
      <c r="B507">
        <v>394</v>
      </c>
      <c r="C507" t="s">
        <v>5324</v>
      </c>
      <c r="D507" s="39" t="s">
        <v>2380</v>
      </c>
      <c r="E507" s="39" t="s">
        <v>2381</v>
      </c>
      <c r="F507" s="39" t="s">
        <v>35</v>
      </c>
      <c r="G507" s="39" t="s">
        <v>194</v>
      </c>
      <c r="H507" s="34"/>
      <c r="I507" s="39" t="s">
        <v>2382</v>
      </c>
      <c r="J507" s="39" t="s">
        <v>35</v>
      </c>
      <c r="K507" t="s">
        <v>2383</v>
      </c>
      <c r="L507" t="s">
        <v>2384</v>
      </c>
      <c r="M507" s="6" t="s">
        <v>6077</v>
      </c>
      <c r="N507" t="s">
        <v>59</v>
      </c>
      <c r="P507" s="35"/>
      <c r="Q507" t="s">
        <v>44</v>
      </c>
      <c r="R507" t="s">
        <v>269</v>
      </c>
      <c r="S507" s="6" t="s">
        <v>6257</v>
      </c>
      <c r="T507" s="43" t="s">
        <v>2385</v>
      </c>
      <c r="U507" s="43" t="s">
        <v>330</v>
      </c>
      <c r="V507" t="s">
        <v>42</v>
      </c>
      <c r="W507" s="57"/>
      <c r="X507" s="57"/>
      <c r="Y507" t="s">
        <v>43</v>
      </c>
      <c r="Z507" s="39"/>
      <c r="AA507" s="39"/>
      <c r="AB507" t="s">
        <v>44</v>
      </c>
      <c r="AC507" s="42">
        <v>33240</v>
      </c>
      <c r="AD507" s="42">
        <v>34233</v>
      </c>
      <c r="AE507" s="53" t="s">
        <v>51</v>
      </c>
      <c r="AF507" s="54" t="s">
        <v>35</v>
      </c>
      <c r="AG507" s="54"/>
      <c r="AH507" s="39" t="s">
        <v>52</v>
      </c>
      <c r="AI507" s="39" t="s">
        <v>52</v>
      </c>
    </row>
    <row r="508" spans="1:35" ht="17" x14ac:dyDescent="0.2">
      <c r="A508">
        <v>97</v>
      </c>
      <c r="B508">
        <v>494</v>
      </c>
      <c r="C508" t="s">
        <v>5328</v>
      </c>
      <c r="D508" s="39" t="s">
        <v>2825</v>
      </c>
      <c r="E508" s="39" t="s">
        <v>2826</v>
      </c>
      <c r="F508" s="39" t="s">
        <v>35</v>
      </c>
      <c r="G508" s="39" t="s">
        <v>194</v>
      </c>
      <c r="I508" s="39" t="s">
        <v>2827</v>
      </c>
      <c r="J508" s="39" t="s">
        <v>35</v>
      </c>
      <c r="K508" t="s">
        <v>2828</v>
      </c>
      <c r="L508" t="s">
        <v>2829</v>
      </c>
      <c r="M508" s="6" t="s">
        <v>6078</v>
      </c>
      <c r="N508" t="s">
        <v>86</v>
      </c>
      <c r="O508" t="s">
        <v>2830</v>
      </c>
      <c r="P508" s="35" t="s">
        <v>50</v>
      </c>
      <c r="Q508" t="s">
        <v>76</v>
      </c>
      <c r="R508" t="s">
        <v>171</v>
      </c>
      <c r="S508" s="6" t="s">
        <v>4495</v>
      </c>
      <c r="T508" s="43" t="s">
        <v>698</v>
      </c>
      <c r="U508" s="43" t="s">
        <v>307</v>
      </c>
      <c r="V508" t="s">
        <v>346</v>
      </c>
      <c r="W508" s="57"/>
      <c r="X508" s="57"/>
      <c r="Y508" t="s">
        <v>50</v>
      </c>
      <c r="Z508" s="39"/>
      <c r="AA508" s="39"/>
      <c r="AB508" t="s">
        <v>62</v>
      </c>
      <c r="AC508" s="42">
        <v>34658</v>
      </c>
      <c r="AD508" s="42">
        <v>35185</v>
      </c>
      <c r="AE508" s="53" t="s">
        <v>239</v>
      </c>
      <c r="AF508" s="54" t="s">
        <v>35</v>
      </c>
      <c r="AG508" s="54"/>
      <c r="AH508" s="39" t="s">
        <v>70</v>
      </c>
      <c r="AI508" s="39" t="s">
        <v>52</v>
      </c>
    </row>
    <row r="509" spans="1:35" ht="17" x14ac:dyDescent="0.2">
      <c r="A509" t="s">
        <v>35</v>
      </c>
      <c r="B509">
        <v>542</v>
      </c>
      <c r="C509" t="s">
        <v>5829</v>
      </c>
      <c r="D509" s="39" t="s">
        <v>3071</v>
      </c>
      <c r="E509" s="39" t="s">
        <v>3072</v>
      </c>
      <c r="F509" s="39" t="s">
        <v>3073</v>
      </c>
      <c r="G509" s="39" t="s">
        <v>259</v>
      </c>
      <c r="I509" s="39" t="s">
        <v>3074</v>
      </c>
      <c r="J509" s="39" t="s">
        <v>35</v>
      </c>
      <c r="K509" t="s">
        <v>3075</v>
      </c>
      <c r="L509" t="s">
        <v>611</v>
      </c>
      <c r="M509" s="6" t="s">
        <v>3655</v>
      </c>
      <c r="N509" t="s">
        <v>131</v>
      </c>
      <c r="O509" t="s">
        <v>49</v>
      </c>
      <c r="P509" s="35" t="s">
        <v>50</v>
      </c>
      <c r="Q509" t="s">
        <v>44</v>
      </c>
      <c r="R509" t="s">
        <v>3076</v>
      </c>
      <c r="S509" s="6" t="s">
        <v>3501</v>
      </c>
      <c r="T509" s="43" t="s">
        <v>246</v>
      </c>
      <c r="U509" s="43" t="s">
        <v>246</v>
      </c>
      <c r="V509" t="s">
        <v>353</v>
      </c>
      <c r="W509" s="57"/>
      <c r="X509" s="57"/>
      <c r="Y509" t="s">
        <v>356</v>
      </c>
      <c r="Z509" s="39"/>
      <c r="AA509" s="39"/>
      <c r="AB509" t="s">
        <v>44</v>
      </c>
      <c r="AE509" s="53" t="s">
        <v>453</v>
      </c>
      <c r="AF509" s="54" t="s">
        <v>35</v>
      </c>
      <c r="AG509" s="54"/>
      <c r="AH509" s="39" t="s">
        <v>70</v>
      </c>
      <c r="AI509" s="39" t="s">
        <v>52</v>
      </c>
    </row>
    <row r="510" spans="1:35" ht="17" x14ac:dyDescent="0.2">
      <c r="A510">
        <v>503</v>
      </c>
      <c r="B510">
        <v>99</v>
      </c>
      <c r="C510" t="s">
        <v>5331</v>
      </c>
      <c r="D510" s="39" t="s">
        <v>770</v>
      </c>
      <c r="E510" s="39" t="s">
        <v>771</v>
      </c>
      <c r="F510" s="39" t="s">
        <v>35</v>
      </c>
      <c r="G510" s="39" t="s">
        <v>36</v>
      </c>
      <c r="I510" s="39" t="s">
        <v>772</v>
      </c>
      <c r="J510" s="39" t="s">
        <v>35</v>
      </c>
      <c r="K510" t="s">
        <v>773</v>
      </c>
      <c r="L510" s="49" t="s">
        <v>355</v>
      </c>
      <c r="M510" s="6" t="s">
        <v>5305</v>
      </c>
      <c r="N510" t="s">
        <v>97</v>
      </c>
      <c r="O510" t="s">
        <v>42</v>
      </c>
      <c r="P510" s="35" t="s">
        <v>43</v>
      </c>
      <c r="Q510" t="s">
        <v>44</v>
      </c>
      <c r="R510" t="s">
        <v>77</v>
      </c>
      <c r="S510" s="6" t="s">
        <v>5307</v>
      </c>
      <c r="T510" s="43" t="s">
        <v>155</v>
      </c>
      <c r="U510" s="43" t="s">
        <v>774</v>
      </c>
      <c r="V510" t="s">
        <v>49</v>
      </c>
      <c r="W510" s="57"/>
      <c r="X510" s="57"/>
      <c r="Y510" t="s">
        <v>50</v>
      </c>
      <c r="Z510" s="39"/>
      <c r="AA510" s="39"/>
      <c r="AB510" t="s">
        <v>44</v>
      </c>
      <c r="AC510" s="42">
        <v>43843</v>
      </c>
      <c r="AD510" s="42">
        <v>2023</v>
      </c>
      <c r="AE510" s="53" t="s">
        <v>453</v>
      </c>
      <c r="AF510" s="54" t="s">
        <v>35</v>
      </c>
      <c r="AG510" s="54"/>
      <c r="AH510" s="39" t="s">
        <v>70</v>
      </c>
      <c r="AI510" s="39" t="s">
        <v>52</v>
      </c>
    </row>
    <row r="511" spans="1:35" ht="17" x14ac:dyDescent="0.2">
      <c r="A511">
        <v>61</v>
      </c>
      <c r="B511">
        <v>257</v>
      </c>
      <c r="C511" t="s">
        <v>5333</v>
      </c>
      <c r="D511" s="39" t="s">
        <v>1689</v>
      </c>
      <c r="E511" s="39" t="s">
        <v>771</v>
      </c>
      <c r="F511" s="39" t="s">
        <v>35</v>
      </c>
      <c r="G511" s="39" t="s">
        <v>194</v>
      </c>
      <c r="H511" s="34"/>
      <c r="I511" s="39" t="s">
        <v>1690</v>
      </c>
      <c r="J511" s="39" t="s">
        <v>35</v>
      </c>
      <c r="K511" t="s">
        <v>1691</v>
      </c>
      <c r="L511" t="s">
        <v>1692</v>
      </c>
      <c r="M511" s="6" t="s">
        <v>35</v>
      </c>
      <c r="N511" t="s">
        <v>59</v>
      </c>
      <c r="O511" t="s">
        <v>49</v>
      </c>
      <c r="P511" s="35" t="s">
        <v>50</v>
      </c>
      <c r="Q511" t="s">
        <v>44</v>
      </c>
      <c r="R511" t="s">
        <v>1693</v>
      </c>
      <c r="S511" s="6" t="s">
        <v>35</v>
      </c>
      <c r="T511" s="43" t="s">
        <v>1694</v>
      </c>
      <c r="U511" s="43" t="s">
        <v>1620</v>
      </c>
      <c r="V511" t="s">
        <v>49</v>
      </c>
      <c r="W511" s="57"/>
      <c r="X511" s="57"/>
      <c r="Y511" t="s">
        <v>50</v>
      </c>
      <c r="Z511" s="39"/>
      <c r="AA511" s="39"/>
      <c r="AB511" t="s">
        <v>479</v>
      </c>
      <c r="AC511" s="42">
        <v>33419</v>
      </c>
      <c r="AD511" s="42">
        <v>34233</v>
      </c>
      <c r="AE511" s="53" t="s">
        <v>51</v>
      </c>
      <c r="AF511" s="54" t="s">
        <v>35</v>
      </c>
      <c r="AG511" s="54"/>
      <c r="AH511" s="39" t="s">
        <v>52</v>
      </c>
      <c r="AI511" s="39" t="s">
        <v>52</v>
      </c>
    </row>
    <row r="512" spans="1:35" ht="17" x14ac:dyDescent="0.2">
      <c r="A512">
        <v>446</v>
      </c>
      <c r="B512">
        <v>370</v>
      </c>
      <c r="C512" t="s">
        <v>5335</v>
      </c>
      <c r="D512" s="39" t="s">
        <v>2257</v>
      </c>
      <c r="E512" s="39" t="s">
        <v>2258</v>
      </c>
      <c r="F512" s="39" t="s">
        <v>35</v>
      </c>
      <c r="G512" s="39" t="s">
        <v>36</v>
      </c>
      <c r="I512" s="39" t="s">
        <v>2259</v>
      </c>
      <c r="J512" s="39" t="s">
        <v>35</v>
      </c>
      <c r="K512" t="s">
        <v>2260</v>
      </c>
      <c r="L512" t="s">
        <v>631</v>
      </c>
      <c r="M512" s="6" t="s">
        <v>35</v>
      </c>
      <c r="N512" t="s">
        <v>59</v>
      </c>
      <c r="O512" t="s">
        <v>60</v>
      </c>
      <c r="P512" s="35" t="s">
        <v>61</v>
      </c>
      <c r="Q512" t="s">
        <v>62</v>
      </c>
      <c r="R512" t="s">
        <v>631</v>
      </c>
      <c r="S512" s="6" t="s">
        <v>35</v>
      </c>
      <c r="T512" s="43" t="s">
        <v>1086</v>
      </c>
      <c r="U512" s="43" t="s">
        <v>126</v>
      </c>
      <c r="V512" t="s">
        <v>60</v>
      </c>
      <c r="W512" s="57"/>
      <c r="X512" s="57"/>
      <c r="Y512" t="s">
        <v>61</v>
      </c>
      <c r="Z512" s="39"/>
      <c r="AA512" s="39"/>
      <c r="AB512" t="s">
        <v>62</v>
      </c>
      <c r="AC512" s="42">
        <v>42886</v>
      </c>
      <c r="AD512" s="42">
        <v>43354</v>
      </c>
      <c r="AE512" s="53" t="s">
        <v>51</v>
      </c>
      <c r="AF512" s="54" t="s">
        <v>35</v>
      </c>
      <c r="AG512" s="54"/>
      <c r="AH512" s="39" t="s">
        <v>52</v>
      </c>
      <c r="AI512" s="39" t="s">
        <v>52</v>
      </c>
    </row>
    <row r="513" spans="1:35" ht="17" x14ac:dyDescent="0.2">
      <c r="A513">
        <v>170</v>
      </c>
      <c r="B513">
        <v>180</v>
      </c>
      <c r="C513" t="s">
        <v>5340</v>
      </c>
      <c r="D513" s="39" t="s">
        <v>1268</v>
      </c>
      <c r="E513" s="39" t="s">
        <v>1269</v>
      </c>
      <c r="F513" s="39" t="s">
        <v>35</v>
      </c>
      <c r="G513" s="39" t="s">
        <v>205</v>
      </c>
      <c r="I513" s="39" t="s">
        <v>1270</v>
      </c>
      <c r="J513" s="39" t="s">
        <v>35</v>
      </c>
      <c r="K513" t="s">
        <v>1271</v>
      </c>
      <c r="L513" s="49" t="s">
        <v>1272</v>
      </c>
      <c r="M513" s="6" t="s">
        <v>5913</v>
      </c>
      <c r="N513" t="s">
        <v>59</v>
      </c>
      <c r="O513" t="s">
        <v>399</v>
      </c>
      <c r="P513" s="35" t="s">
        <v>50</v>
      </c>
      <c r="Q513" t="s">
        <v>100</v>
      </c>
      <c r="R513" t="s">
        <v>424</v>
      </c>
      <c r="S513" s="6" t="s">
        <v>6258</v>
      </c>
      <c r="T513" s="43" t="s">
        <v>826</v>
      </c>
      <c r="U513" s="43" t="s">
        <v>1273</v>
      </c>
      <c r="V513" t="s">
        <v>49</v>
      </c>
      <c r="W513" s="57"/>
      <c r="X513" s="57"/>
      <c r="Y513" t="s">
        <v>50</v>
      </c>
      <c r="Z513" s="39"/>
      <c r="AA513" s="39"/>
      <c r="AB513" t="s">
        <v>100</v>
      </c>
      <c r="AC513" s="42">
        <v>36655</v>
      </c>
      <c r="AD513" s="42">
        <v>37313</v>
      </c>
      <c r="AE513" s="53" t="s">
        <v>51</v>
      </c>
      <c r="AF513" s="54" t="s">
        <v>35</v>
      </c>
      <c r="AG513" s="54"/>
      <c r="AH513" s="39" t="s">
        <v>52</v>
      </c>
      <c r="AI513" s="39" t="s">
        <v>52</v>
      </c>
    </row>
    <row r="514" spans="1:35" ht="17" x14ac:dyDescent="0.2">
      <c r="A514">
        <v>600</v>
      </c>
      <c r="B514">
        <v>109</v>
      </c>
      <c r="C514" t="s">
        <v>5775</v>
      </c>
      <c r="D514" s="39" t="s">
        <v>831</v>
      </c>
      <c r="E514" s="39" t="s">
        <v>841</v>
      </c>
      <c r="F514" s="39" t="s">
        <v>35</v>
      </c>
      <c r="G514" s="39" t="s">
        <v>259</v>
      </c>
      <c r="I514" s="39" t="s">
        <v>842</v>
      </c>
      <c r="J514" s="39" t="s">
        <v>35</v>
      </c>
      <c r="K514" t="s">
        <v>843</v>
      </c>
      <c r="L514" s="49" t="s">
        <v>844</v>
      </c>
      <c r="M514" s="6" t="s">
        <v>3655</v>
      </c>
      <c r="N514" t="s">
        <v>131</v>
      </c>
      <c r="O514" t="s">
        <v>49</v>
      </c>
      <c r="P514" s="35" t="s">
        <v>50</v>
      </c>
      <c r="Q514" t="s">
        <v>115</v>
      </c>
      <c r="R514" t="s">
        <v>845</v>
      </c>
      <c r="S514" s="6" t="s">
        <v>3655</v>
      </c>
      <c r="T514" s="43" t="s">
        <v>213</v>
      </c>
      <c r="U514" s="43" t="s">
        <v>213</v>
      </c>
      <c r="V514" t="s">
        <v>49</v>
      </c>
      <c r="W514" s="57"/>
      <c r="X514" s="57"/>
      <c r="Y514" t="s">
        <v>50</v>
      </c>
      <c r="Z514" s="39"/>
      <c r="AA514" s="39"/>
      <c r="AB514" t="s">
        <v>115</v>
      </c>
      <c r="AC514" s="42">
        <v>44936</v>
      </c>
      <c r="AD514" s="42">
        <v>45663</v>
      </c>
      <c r="AE514" s="53" t="s">
        <v>239</v>
      </c>
      <c r="AF514" s="54" t="s">
        <v>35</v>
      </c>
      <c r="AG514" s="54"/>
      <c r="AH514" s="39" t="s">
        <v>70</v>
      </c>
      <c r="AI514" s="39" t="s">
        <v>70</v>
      </c>
    </row>
    <row r="515" spans="1:35" ht="17" x14ac:dyDescent="0.2">
      <c r="A515">
        <v>477</v>
      </c>
      <c r="B515">
        <v>162</v>
      </c>
      <c r="C515" t="s">
        <v>5344</v>
      </c>
      <c r="D515" s="39" t="s">
        <v>1168</v>
      </c>
      <c r="E515" s="39" t="s">
        <v>841</v>
      </c>
      <c r="F515" s="39" t="s">
        <v>35</v>
      </c>
      <c r="G515" s="39" t="s">
        <v>36</v>
      </c>
      <c r="I515" s="39" t="s">
        <v>1169</v>
      </c>
      <c r="J515" s="39" t="s">
        <v>35</v>
      </c>
      <c r="K515" t="s">
        <v>1170</v>
      </c>
      <c r="L515" s="49" t="s">
        <v>564</v>
      </c>
      <c r="M515" s="6" t="s">
        <v>6079</v>
      </c>
      <c r="N515" t="s">
        <v>59</v>
      </c>
      <c r="O515" t="s">
        <v>572</v>
      </c>
      <c r="P515" s="35" t="s">
        <v>566</v>
      </c>
      <c r="Q515" t="s">
        <v>44</v>
      </c>
      <c r="R515" t="s">
        <v>163</v>
      </c>
      <c r="S515" s="6" t="s">
        <v>6259</v>
      </c>
      <c r="T515" s="43" t="s">
        <v>1171</v>
      </c>
      <c r="U515" s="43" t="s">
        <v>126</v>
      </c>
      <c r="V515" t="s">
        <v>49</v>
      </c>
      <c r="W515" s="57"/>
      <c r="X515" s="57"/>
      <c r="Y515" t="s">
        <v>50</v>
      </c>
      <c r="Z515" s="39"/>
      <c r="AA515" s="39"/>
      <c r="AB515" t="s">
        <v>62</v>
      </c>
      <c r="AC515" s="42">
        <v>2018</v>
      </c>
      <c r="AD515" s="42">
        <v>2022</v>
      </c>
      <c r="AE515" s="53" t="s">
        <v>51</v>
      </c>
      <c r="AF515" s="54" t="s">
        <v>35</v>
      </c>
      <c r="AG515" s="54"/>
      <c r="AH515" s="39" t="s">
        <v>52</v>
      </c>
      <c r="AI515" s="39" t="s">
        <v>52</v>
      </c>
    </row>
    <row r="516" spans="1:35" ht="17" x14ac:dyDescent="0.2">
      <c r="A516">
        <v>493</v>
      </c>
      <c r="B516">
        <v>315</v>
      </c>
      <c r="C516" t="s">
        <v>5346</v>
      </c>
      <c r="D516" s="39" t="s">
        <v>1973</v>
      </c>
      <c r="E516" s="39" t="s">
        <v>841</v>
      </c>
      <c r="F516" s="39" t="s">
        <v>35</v>
      </c>
      <c r="G516" s="39" t="s">
        <v>36</v>
      </c>
      <c r="I516" s="39" t="s">
        <v>35</v>
      </c>
      <c r="J516" s="39" t="s">
        <v>35</v>
      </c>
      <c r="K516" t="s">
        <v>1974</v>
      </c>
      <c r="L516" t="s">
        <v>1975</v>
      </c>
      <c r="M516" s="6" t="s">
        <v>3501</v>
      </c>
      <c r="N516" t="s">
        <v>59</v>
      </c>
      <c r="P516" s="35"/>
      <c r="Q516" t="s">
        <v>62</v>
      </c>
      <c r="R516" t="s">
        <v>573</v>
      </c>
      <c r="S516" s="6" t="s">
        <v>2355</v>
      </c>
      <c r="T516" s="43" t="s">
        <v>103</v>
      </c>
      <c r="U516" s="43" t="s">
        <v>1171</v>
      </c>
      <c r="V516" t="s">
        <v>49</v>
      </c>
      <c r="W516" s="57"/>
      <c r="X516" s="57"/>
      <c r="Y516" t="s">
        <v>50</v>
      </c>
      <c r="Z516" s="39"/>
      <c r="AA516" s="39"/>
      <c r="AB516" t="s">
        <v>62</v>
      </c>
      <c r="AC516" s="42">
        <v>43534</v>
      </c>
      <c r="AD516" s="42">
        <v>43879</v>
      </c>
      <c r="AE516" s="53" t="s">
        <v>51</v>
      </c>
      <c r="AF516" s="54" t="s">
        <v>35</v>
      </c>
      <c r="AG516" s="54"/>
      <c r="AH516" s="39" t="s">
        <v>52</v>
      </c>
      <c r="AI516" s="39" t="s">
        <v>52</v>
      </c>
    </row>
    <row r="517" spans="1:35" ht="17" x14ac:dyDescent="0.2">
      <c r="A517">
        <v>475</v>
      </c>
      <c r="B517">
        <v>336</v>
      </c>
      <c r="C517" t="s">
        <v>5348</v>
      </c>
      <c r="D517" s="39" t="s">
        <v>2085</v>
      </c>
      <c r="E517" s="39" t="s">
        <v>841</v>
      </c>
      <c r="F517" s="39" t="s">
        <v>35</v>
      </c>
      <c r="G517" s="39" t="s">
        <v>36</v>
      </c>
      <c r="I517" s="39" t="s">
        <v>35</v>
      </c>
      <c r="J517" s="39" t="s">
        <v>35</v>
      </c>
      <c r="L517" t="s">
        <v>35</v>
      </c>
      <c r="M517" s="6" t="s">
        <v>4148</v>
      </c>
      <c r="P517" s="35"/>
      <c r="Q517" t="s">
        <v>35</v>
      </c>
      <c r="S517" s="6" t="s">
        <v>3839</v>
      </c>
      <c r="T517" s="43" t="s">
        <v>35</v>
      </c>
      <c r="U517" s="43" t="s">
        <v>35</v>
      </c>
      <c r="W517" s="57"/>
      <c r="X517" s="57"/>
      <c r="Z517" s="39"/>
      <c r="AA517" s="39"/>
      <c r="AB517" t="s">
        <v>35</v>
      </c>
      <c r="AC517" s="42">
        <v>43480</v>
      </c>
      <c r="AD517" s="42">
        <v>43861</v>
      </c>
      <c r="AE517" s="53" t="s">
        <v>51</v>
      </c>
      <c r="AF517" s="54" t="s">
        <v>35</v>
      </c>
      <c r="AG517" s="54"/>
      <c r="AH517" s="39" t="s">
        <v>52</v>
      </c>
      <c r="AI517" s="39" t="s">
        <v>52</v>
      </c>
    </row>
    <row r="518" spans="1:35" ht="17" x14ac:dyDescent="0.2">
      <c r="A518">
        <v>204</v>
      </c>
      <c r="B518">
        <v>398</v>
      </c>
      <c r="C518" t="s">
        <v>5349</v>
      </c>
      <c r="D518" s="39" t="s">
        <v>2400</v>
      </c>
      <c r="E518" s="39" t="s">
        <v>841</v>
      </c>
      <c r="F518" s="39" t="s">
        <v>35</v>
      </c>
      <c r="G518" s="39" t="s">
        <v>205</v>
      </c>
      <c r="I518" s="39" t="s">
        <v>2401</v>
      </c>
      <c r="J518" s="39" t="s">
        <v>35</v>
      </c>
      <c r="K518" t="s">
        <v>2402</v>
      </c>
      <c r="L518" t="s">
        <v>2403</v>
      </c>
      <c r="M518" s="6" t="s">
        <v>3476</v>
      </c>
      <c r="N518" t="s">
        <v>86</v>
      </c>
      <c r="O518" t="s">
        <v>401</v>
      </c>
      <c r="P518" s="35" t="s">
        <v>50</v>
      </c>
      <c r="Q518" t="s">
        <v>115</v>
      </c>
      <c r="R518" t="s">
        <v>1981</v>
      </c>
      <c r="S518" s="6" t="s">
        <v>6260</v>
      </c>
      <c r="T518" s="43" t="s">
        <v>289</v>
      </c>
      <c r="U518" s="43" t="s">
        <v>936</v>
      </c>
      <c r="V518" t="s">
        <v>49</v>
      </c>
      <c r="W518" s="57"/>
      <c r="X518" s="57"/>
      <c r="Y518" t="s">
        <v>50</v>
      </c>
      <c r="Z518" s="39"/>
      <c r="AA518" s="39"/>
      <c r="AB518" t="s">
        <v>115</v>
      </c>
      <c r="AC518" s="42">
        <v>36526</v>
      </c>
      <c r="AD518" s="42">
        <v>37277</v>
      </c>
      <c r="AE518" s="53" t="s">
        <v>51</v>
      </c>
      <c r="AF518" s="54" t="s">
        <v>35</v>
      </c>
      <c r="AG518" s="54"/>
      <c r="AH518" s="39" t="s">
        <v>52</v>
      </c>
      <c r="AI518" s="39" t="s">
        <v>52</v>
      </c>
    </row>
    <row r="519" spans="1:35" ht="17" x14ac:dyDescent="0.2">
      <c r="A519">
        <v>594</v>
      </c>
      <c r="B519">
        <v>595</v>
      </c>
      <c r="C519" t="s">
        <v>5839</v>
      </c>
      <c r="D519" s="39" t="s">
        <v>3323</v>
      </c>
      <c r="E519" s="39" t="s">
        <v>841</v>
      </c>
      <c r="F519" s="39" t="s">
        <v>35</v>
      </c>
      <c r="G519" s="39" t="s">
        <v>36</v>
      </c>
      <c r="I519" s="39" t="s">
        <v>3324</v>
      </c>
      <c r="J519" s="39" t="s">
        <v>35</v>
      </c>
      <c r="K519" t="s">
        <v>3325</v>
      </c>
      <c r="L519" t="s">
        <v>1447</v>
      </c>
      <c r="M519" s="6" t="s">
        <v>3476</v>
      </c>
      <c r="N519" t="s">
        <v>131</v>
      </c>
      <c r="O519" t="s">
        <v>49</v>
      </c>
      <c r="P519" s="35" t="s">
        <v>50</v>
      </c>
      <c r="Q519" t="s">
        <v>44</v>
      </c>
      <c r="R519" t="s">
        <v>3326</v>
      </c>
      <c r="S519" s="6" t="s">
        <v>4911</v>
      </c>
      <c r="T519" s="43" t="s">
        <v>494</v>
      </c>
      <c r="U519" s="43" t="s">
        <v>494</v>
      </c>
      <c r="V519" t="s">
        <v>49</v>
      </c>
      <c r="W519" s="57"/>
      <c r="X519" s="57"/>
      <c r="Y519" t="s">
        <v>50</v>
      </c>
      <c r="Z519" s="39"/>
      <c r="AA519" s="39"/>
      <c r="AB519" t="s">
        <v>44</v>
      </c>
      <c r="AC519" s="42">
        <v>44567</v>
      </c>
      <c r="AD519" s="42">
        <v>44938</v>
      </c>
      <c r="AE519" s="53" t="s">
        <v>51</v>
      </c>
      <c r="AF519" s="54" t="s">
        <v>35</v>
      </c>
      <c r="AG519" s="54"/>
      <c r="AH519" s="39" t="s">
        <v>52</v>
      </c>
      <c r="AI519" s="39" t="s">
        <v>52</v>
      </c>
    </row>
    <row r="520" spans="1:35" ht="17" x14ac:dyDescent="0.2">
      <c r="A520">
        <v>83</v>
      </c>
      <c r="B520">
        <v>155</v>
      </c>
      <c r="C520" t="s">
        <v>5353</v>
      </c>
      <c r="D520" s="39" t="s">
        <v>1133</v>
      </c>
      <c r="E520" s="39" t="s">
        <v>1134</v>
      </c>
      <c r="F520" s="39" t="s">
        <v>35</v>
      </c>
      <c r="G520" s="39" t="s">
        <v>194</v>
      </c>
      <c r="I520" s="39" t="s">
        <v>1135</v>
      </c>
      <c r="J520" s="39" t="s">
        <v>35</v>
      </c>
      <c r="K520" t="s">
        <v>1136</v>
      </c>
      <c r="L520" s="49" t="s">
        <v>1137</v>
      </c>
      <c r="M520" s="6" t="s">
        <v>4387</v>
      </c>
      <c r="N520" t="s">
        <v>86</v>
      </c>
      <c r="O520" t="s">
        <v>190</v>
      </c>
      <c r="P520" s="35" t="s">
        <v>191</v>
      </c>
      <c r="Q520" t="s">
        <v>76</v>
      </c>
      <c r="R520" t="s">
        <v>1138</v>
      </c>
      <c r="S520" s="6" t="s">
        <v>4387</v>
      </c>
      <c r="T520" s="43" t="s">
        <v>386</v>
      </c>
      <c r="U520" s="43" t="s">
        <v>1139</v>
      </c>
      <c r="V520" t="s">
        <v>123</v>
      </c>
      <c r="W520" s="57"/>
      <c r="X520" s="57"/>
      <c r="Y520" t="s">
        <v>99</v>
      </c>
      <c r="Z520" s="39"/>
      <c r="AA520" s="39"/>
      <c r="AB520" t="s">
        <v>76</v>
      </c>
      <c r="AC520" s="42">
        <v>34074</v>
      </c>
      <c r="AD520" s="42">
        <v>34347</v>
      </c>
      <c r="AE520" s="53" t="s">
        <v>51</v>
      </c>
      <c r="AF520" s="54" t="s">
        <v>35</v>
      </c>
      <c r="AG520" s="54"/>
      <c r="AH520" s="39" t="s">
        <v>52</v>
      </c>
      <c r="AI520" s="39" t="s">
        <v>52</v>
      </c>
    </row>
    <row r="521" spans="1:35" ht="17" x14ac:dyDescent="0.2">
      <c r="A521">
        <v>316</v>
      </c>
      <c r="B521">
        <v>116</v>
      </c>
      <c r="C521" t="s">
        <v>5357</v>
      </c>
      <c r="D521" s="39" t="s">
        <v>888</v>
      </c>
      <c r="E521" s="39" t="s">
        <v>848</v>
      </c>
      <c r="F521" s="39" t="s">
        <v>35</v>
      </c>
      <c r="G521" s="39" t="s">
        <v>55</v>
      </c>
      <c r="I521" s="39" t="s">
        <v>889</v>
      </c>
      <c r="J521" s="39" t="s">
        <v>890</v>
      </c>
      <c r="K521" t="s">
        <v>891</v>
      </c>
      <c r="L521" s="49" t="s">
        <v>892</v>
      </c>
      <c r="M521" s="6" t="s">
        <v>64</v>
      </c>
      <c r="N521" t="s">
        <v>59</v>
      </c>
      <c r="O521" t="s">
        <v>893</v>
      </c>
      <c r="P521" s="35" t="s">
        <v>894</v>
      </c>
      <c r="Q521" t="s">
        <v>35</v>
      </c>
      <c r="R521" t="s">
        <v>895</v>
      </c>
      <c r="S521" s="6" t="s">
        <v>3501</v>
      </c>
      <c r="T521" s="43" t="s">
        <v>896</v>
      </c>
      <c r="U521" s="43" t="s">
        <v>103</v>
      </c>
      <c r="W521" s="57"/>
      <c r="X521" s="57"/>
      <c r="Y521" t="s">
        <v>894</v>
      </c>
      <c r="Z521" s="39"/>
      <c r="AA521" s="39"/>
      <c r="AB521" t="s">
        <v>76</v>
      </c>
      <c r="AC521" s="42">
        <v>39602</v>
      </c>
      <c r="AD521" s="42">
        <v>40889</v>
      </c>
      <c r="AE521" s="53" t="s">
        <v>453</v>
      </c>
      <c r="AF521" s="54" t="s">
        <v>35</v>
      </c>
      <c r="AG521" s="54"/>
      <c r="AH521" s="39" t="s">
        <v>70</v>
      </c>
      <c r="AI521" s="39" t="s">
        <v>52</v>
      </c>
    </row>
    <row r="522" spans="1:35" ht="17" x14ac:dyDescent="0.2">
      <c r="A522">
        <v>490</v>
      </c>
      <c r="B522">
        <v>126</v>
      </c>
      <c r="C522" t="s">
        <v>5365</v>
      </c>
      <c r="D522" s="39" t="s">
        <v>956</v>
      </c>
      <c r="E522" s="39" t="s">
        <v>957</v>
      </c>
      <c r="F522" s="39" t="s">
        <v>35</v>
      </c>
      <c r="G522" s="39" t="s">
        <v>36</v>
      </c>
      <c r="I522" s="39" t="s">
        <v>958</v>
      </c>
      <c r="J522" s="39" t="s">
        <v>959</v>
      </c>
      <c r="K522" t="s">
        <v>960</v>
      </c>
      <c r="L522" s="49" t="s">
        <v>236</v>
      </c>
      <c r="M522" s="6" t="s">
        <v>6080</v>
      </c>
      <c r="N522" t="s">
        <v>97</v>
      </c>
      <c r="P522" s="35"/>
      <c r="Q522" t="s">
        <v>44</v>
      </c>
      <c r="R522" t="s">
        <v>961</v>
      </c>
      <c r="S522" s="6" t="s">
        <v>6261</v>
      </c>
      <c r="T522" s="43" t="s">
        <v>134</v>
      </c>
      <c r="U522" s="43" t="s">
        <v>755</v>
      </c>
      <c r="V522" t="s">
        <v>639</v>
      </c>
      <c r="W522" s="57"/>
      <c r="X522" s="57"/>
      <c r="Y522" t="s">
        <v>640</v>
      </c>
      <c r="Z522" s="39"/>
      <c r="AA522" s="39"/>
      <c r="AB522" t="s">
        <v>44</v>
      </c>
      <c r="AC522" s="42">
        <v>43626</v>
      </c>
      <c r="AD522" s="42">
        <v>44627</v>
      </c>
      <c r="AE522" s="53" t="s">
        <v>453</v>
      </c>
      <c r="AF522" s="54" t="s">
        <v>68</v>
      </c>
      <c r="AG522" s="54"/>
      <c r="AH522" s="39" t="s">
        <v>70</v>
      </c>
      <c r="AI522" s="39" t="s">
        <v>52</v>
      </c>
    </row>
    <row r="523" spans="1:35" ht="17" x14ac:dyDescent="0.2">
      <c r="A523">
        <v>441</v>
      </c>
      <c r="B523">
        <v>297</v>
      </c>
      <c r="C523" t="s">
        <v>5366</v>
      </c>
      <c r="D523" s="39" t="s">
        <v>1872</v>
      </c>
      <c r="E523" s="39" t="s">
        <v>957</v>
      </c>
      <c r="F523" s="39" t="s">
        <v>35</v>
      </c>
      <c r="G523" s="39" t="s">
        <v>36</v>
      </c>
      <c r="I523" s="39" t="s">
        <v>1873</v>
      </c>
      <c r="J523" s="39" t="s">
        <v>1874</v>
      </c>
      <c r="K523" t="s">
        <v>1875</v>
      </c>
      <c r="L523" t="s">
        <v>1876</v>
      </c>
      <c r="M523" s="6" t="s">
        <v>3820</v>
      </c>
      <c r="N523" t="s">
        <v>97</v>
      </c>
      <c r="P523" s="35"/>
      <c r="Q523" t="s">
        <v>62</v>
      </c>
      <c r="R523" t="s">
        <v>163</v>
      </c>
      <c r="S523" s="6" t="s">
        <v>6262</v>
      </c>
      <c r="T523" s="43" t="s">
        <v>494</v>
      </c>
      <c r="U523" s="43" t="s">
        <v>1877</v>
      </c>
      <c r="W523" s="57"/>
      <c r="X523" s="57"/>
      <c r="Z523" s="39"/>
      <c r="AA523" s="39"/>
      <c r="AB523" t="s">
        <v>62</v>
      </c>
      <c r="AC523" s="42">
        <v>42886</v>
      </c>
      <c r="AD523" s="42">
        <v>43774</v>
      </c>
      <c r="AE523" s="53" t="s">
        <v>51</v>
      </c>
      <c r="AF523" s="54" t="s">
        <v>35</v>
      </c>
      <c r="AG523" s="54"/>
      <c r="AH523" s="39" t="s">
        <v>52</v>
      </c>
      <c r="AI523" s="39" t="s">
        <v>52</v>
      </c>
    </row>
    <row r="524" spans="1:35" ht="17" x14ac:dyDescent="0.2">
      <c r="A524">
        <v>163</v>
      </c>
      <c r="B524">
        <v>379</v>
      </c>
      <c r="C524" t="s">
        <v>5368</v>
      </c>
      <c r="D524" s="39" t="s">
        <v>2300</v>
      </c>
      <c r="E524" s="39" t="s">
        <v>957</v>
      </c>
      <c r="F524" s="39" t="s">
        <v>35</v>
      </c>
      <c r="G524" s="39" t="s">
        <v>205</v>
      </c>
      <c r="H524" s="34"/>
      <c r="I524" s="39" t="s">
        <v>2301</v>
      </c>
      <c r="J524" s="39" t="s">
        <v>35</v>
      </c>
      <c r="K524" t="s">
        <v>2302</v>
      </c>
      <c r="L524" t="s">
        <v>2303</v>
      </c>
      <c r="M524" s="6" t="s">
        <v>6081</v>
      </c>
      <c r="N524" t="s">
        <v>86</v>
      </c>
      <c r="O524" t="s">
        <v>49</v>
      </c>
      <c r="P524" s="35" t="s">
        <v>50</v>
      </c>
      <c r="Q524" t="s">
        <v>558</v>
      </c>
      <c r="R524" t="s">
        <v>2304</v>
      </c>
      <c r="S524" s="6" t="s">
        <v>3461</v>
      </c>
      <c r="T524" s="43" t="s">
        <v>705</v>
      </c>
      <c r="U524" s="43" t="s">
        <v>1466</v>
      </c>
      <c r="V524" t="s">
        <v>49</v>
      </c>
      <c r="W524" s="57"/>
      <c r="X524" s="57"/>
      <c r="Y524" t="s">
        <v>50</v>
      </c>
      <c r="Z524" s="39"/>
      <c r="AA524" s="39"/>
      <c r="AB524" t="s">
        <v>115</v>
      </c>
      <c r="AC524" s="42">
        <v>36655</v>
      </c>
      <c r="AD524" s="42">
        <v>37649</v>
      </c>
      <c r="AE524" s="53" t="s">
        <v>68</v>
      </c>
      <c r="AF524" s="54" t="s">
        <v>35</v>
      </c>
      <c r="AG524" s="54"/>
      <c r="AH524" s="39" t="s">
        <v>70</v>
      </c>
      <c r="AI524" s="39" t="s">
        <v>52</v>
      </c>
    </row>
    <row r="525" spans="1:35" ht="17" x14ac:dyDescent="0.2">
      <c r="A525">
        <v>175</v>
      </c>
      <c r="B525">
        <v>423</v>
      </c>
      <c r="C525" t="s">
        <v>5371</v>
      </c>
      <c r="D525" s="39" t="s">
        <v>2519</v>
      </c>
      <c r="E525" s="39" t="s">
        <v>957</v>
      </c>
      <c r="F525" s="39" t="s">
        <v>35</v>
      </c>
      <c r="G525" s="39" t="s">
        <v>205</v>
      </c>
      <c r="I525" s="39" t="s">
        <v>2520</v>
      </c>
      <c r="J525" s="39" t="s">
        <v>35</v>
      </c>
      <c r="K525" t="s">
        <v>2521</v>
      </c>
      <c r="L525" t="s">
        <v>2522</v>
      </c>
      <c r="M525" s="6" t="s">
        <v>5063</v>
      </c>
      <c r="N525" s="36" t="s">
        <v>86</v>
      </c>
      <c r="O525" t="s">
        <v>2523</v>
      </c>
      <c r="P525" s="35" t="s">
        <v>50</v>
      </c>
      <c r="Q525" t="s">
        <v>35</v>
      </c>
      <c r="S525" s="6" t="s">
        <v>5652</v>
      </c>
      <c r="T525" s="43" t="s">
        <v>35</v>
      </c>
      <c r="U525" s="43" t="s">
        <v>35</v>
      </c>
      <c r="W525" s="57"/>
      <c r="X525" s="57"/>
      <c r="Z525" s="39"/>
      <c r="AA525" s="39"/>
      <c r="AB525" t="s">
        <v>35</v>
      </c>
      <c r="AC525" s="42">
        <v>36871</v>
      </c>
      <c r="AD525" s="42">
        <v>38007</v>
      </c>
      <c r="AE525" s="53" t="s">
        <v>51</v>
      </c>
      <c r="AF525" s="54" t="s">
        <v>35</v>
      </c>
      <c r="AG525" s="54"/>
      <c r="AH525" s="39" t="s">
        <v>52</v>
      </c>
      <c r="AI525" s="39" t="s">
        <v>52</v>
      </c>
    </row>
    <row r="526" spans="1:35" ht="17" x14ac:dyDescent="0.2">
      <c r="A526">
        <v>433</v>
      </c>
      <c r="B526">
        <v>459</v>
      </c>
      <c r="C526" t="s">
        <v>5374</v>
      </c>
      <c r="D526" s="39" t="s">
        <v>2667</v>
      </c>
      <c r="E526" s="39" t="s">
        <v>957</v>
      </c>
      <c r="F526" s="39" t="s">
        <v>35</v>
      </c>
      <c r="G526" s="39" t="s">
        <v>36</v>
      </c>
      <c r="H526" s="34"/>
      <c r="I526" s="39" t="s">
        <v>2668</v>
      </c>
      <c r="J526" s="39" t="s">
        <v>35</v>
      </c>
      <c r="K526" t="s">
        <v>2669</v>
      </c>
      <c r="L526" t="s">
        <v>2670</v>
      </c>
      <c r="M526" s="6" t="s">
        <v>35</v>
      </c>
      <c r="N526" s="37" t="s">
        <v>59</v>
      </c>
      <c r="O526" t="s">
        <v>49</v>
      </c>
      <c r="P526" s="35"/>
      <c r="Q526" t="s">
        <v>44</v>
      </c>
      <c r="R526" t="s">
        <v>2671</v>
      </c>
      <c r="S526" s="6" t="s">
        <v>35</v>
      </c>
      <c r="T526" s="43" t="s">
        <v>224</v>
      </c>
      <c r="U526" s="43" t="s">
        <v>1877</v>
      </c>
      <c r="V526" t="s">
        <v>42</v>
      </c>
      <c r="W526" s="57"/>
      <c r="X526" s="57"/>
      <c r="Y526" t="s">
        <v>43</v>
      </c>
      <c r="Z526" s="39"/>
      <c r="AA526" s="39"/>
      <c r="AB526" t="s">
        <v>44</v>
      </c>
      <c r="AC526" s="42">
        <v>42751</v>
      </c>
      <c r="AD526" s="42">
        <v>43213</v>
      </c>
      <c r="AE526" s="53" t="s">
        <v>51</v>
      </c>
      <c r="AF526" s="54" t="s">
        <v>35</v>
      </c>
      <c r="AG526" s="54"/>
      <c r="AH526" s="39" t="s">
        <v>52</v>
      </c>
      <c r="AI526" s="39" t="s">
        <v>52</v>
      </c>
    </row>
    <row r="527" spans="1:35" ht="17" x14ac:dyDescent="0.2">
      <c r="A527">
        <v>568</v>
      </c>
      <c r="B527">
        <v>478</v>
      </c>
      <c r="C527" t="s">
        <v>5378</v>
      </c>
      <c r="D527" s="39" t="s">
        <v>2757</v>
      </c>
      <c r="E527" s="39" t="s">
        <v>957</v>
      </c>
      <c r="F527" s="39" t="s">
        <v>35</v>
      </c>
      <c r="G527" s="39" t="s">
        <v>259</v>
      </c>
      <c r="H527" s="34"/>
      <c r="I527" s="39" t="s">
        <v>2758</v>
      </c>
      <c r="J527" s="39" t="s">
        <v>2759</v>
      </c>
      <c r="K527" t="s">
        <v>2760</v>
      </c>
      <c r="L527" t="s">
        <v>1044</v>
      </c>
      <c r="M527" s="6" t="s">
        <v>6082</v>
      </c>
      <c r="N527" t="s">
        <v>59</v>
      </c>
      <c r="O527" t="s">
        <v>60</v>
      </c>
      <c r="P527" s="35" t="s">
        <v>61</v>
      </c>
      <c r="Q527" t="s">
        <v>62</v>
      </c>
      <c r="R527" t="s">
        <v>1614</v>
      </c>
      <c r="S527" s="6" t="s">
        <v>6263</v>
      </c>
      <c r="T527" s="43" t="s">
        <v>410</v>
      </c>
      <c r="U527" s="43" t="s">
        <v>528</v>
      </c>
      <c r="V527" t="s">
        <v>60</v>
      </c>
      <c r="W527" s="57"/>
      <c r="X527" s="57"/>
      <c r="Y527" t="s">
        <v>61</v>
      </c>
      <c r="Z527" s="39"/>
      <c r="AA527" s="39"/>
      <c r="AB527" t="s">
        <v>62</v>
      </c>
      <c r="AC527" s="42">
        <v>44470</v>
      </c>
      <c r="AD527" s="42">
        <v>44835</v>
      </c>
      <c r="AE527" s="53" t="s">
        <v>51</v>
      </c>
      <c r="AF527" s="54" t="s">
        <v>35</v>
      </c>
      <c r="AG527" s="54"/>
      <c r="AH527" s="39" t="s">
        <v>52</v>
      </c>
      <c r="AI527" s="39" t="s">
        <v>52</v>
      </c>
    </row>
    <row r="528" spans="1:35" ht="17" x14ac:dyDescent="0.2">
      <c r="A528">
        <v>457</v>
      </c>
      <c r="B528">
        <v>508</v>
      </c>
      <c r="C528" t="s">
        <v>5381</v>
      </c>
      <c r="D528" s="39" t="s">
        <v>2891</v>
      </c>
      <c r="E528" s="39" t="s">
        <v>957</v>
      </c>
      <c r="F528" s="39" t="s">
        <v>35</v>
      </c>
      <c r="G528" s="39" t="s">
        <v>36</v>
      </c>
      <c r="I528" s="39" t="s">
        <v>2898</v>
      </c>
      <c r="J528" s="39" t="s">
        <v>35</v>
      </c>
      <c r="K528" t="s">
        <v>2899</v>
      </c>
      <c r="L528" t="s">
        <v>2900</v>
      </c>
      <c r="M528" s="6" t="s">
        <v>40</v>
      </c>
      <c r="N528" t="s">
        <v>97</v>
      </c>
      <c r="O528" t="s">
        <v>2901</v>
      </c>
      <c r="P528" s="35" t="s">
        <v>99</v>
      </c>
      <c r="Q528" t="s">
        <v>100</v>
      </c>
      <c r="R528" t="s">
        <v>612</v>
      </c>
      <c r="S528" s="6" t="s">
        <v>6264</v>
      </c>
      <c r="T528" s="43" t="s">
        <v>409</v>
      </c>
      <c r="U528" s="43" t="s">
        <v>1204</v>
      </c>
      <c r="V528" t="s">
        <v>49</v>
      </c>
      <c r="W528" s="57"/>
      <c r="X528" s="57"/>
      <c r="Y528" t="s">
        <v>50</v>
      </c>
      <c r="Z528" s="39"/>
      <c r="AA528" s="39"/>
      <c r="AB528" t="s">
        <v>62</v>
      </c>
      <c r="AC528" s="42">
        <v>43102</v>
      </c>
      <c r="AD528" s="42">
        <v>43373</v>
      </c>
      <c r="AE528" s="53" t="s">
        <v>51</v>
      </c>
      <c r="AF528" s="54" t="s">
        <v>35</v>
      </c>
      <c r="AG528" s="54"/>
      <c r="AH528" s="39" t="s">
        <v>52</v>
      </c>
      <c r="AI528" s="39" t="s">
        <v>52</v>
      </c>
    </row>
    <row r="529" spans="1:75" ht="34" x14ac:dyDescent="0.2">
      <c r="A529">
        <v>479</v>
      </c>
      <c r="B529">
        <v>512</v>
      </c>
      <c r="C529" t="s">
        <v>5387</v>
      </c>
      <c r="D529" s="39" t="s">
        <v>2916</v>
      </c>
      <c r="E529" s="39" t="s">
        <v>957</v>
      </c>
      <c r="F529" s="39" t="s">
        <v>35</v>
      </c>
      <c r="G529" s="39" t="s">
        <v>36</v>
      </c>
      <c r="H529" s="34"/>
      <c r="I529" s="39" t="s">
        <v>2917</v>
      </c>
      <c r="J529" s="39" t="s">
        <v>35</v>
      </c>
      <c r="K529" t="s">
        <v>2918</v>
      </c>
      <c r="L529" t="s">
        <v>2919</v>
      </c>
      <c r="M529" s="6" t="s">
        <v>3589</v>
      </c>
      <c r="N529" t="s">
        <v>59</v>
      </c>
      <c r="O529" t="s">
        <v>49</v>
      </c>
      <c r="P529" s="35" t="s">
        <v>50</v>
      </c>
      <c r="Q529" t="s">
        <v>115</v>
      </c>
      <c r="R529" t="s">
        <v>2920</v>
      </c>
      <c r="S529" s="6" t="s">
        <v>6265</v>
      </c>
      <c r="T529" s="43" t="s">
        <v>1086</v>
      </c>
      <c r="U529" s="43" t="s">
        <v>1171</v>
      </c>
      <c r="V529" t="s">
        <v>49</v>
      </c>
      <c r="W529" s="57"/>
      <c r="X529" s="57"/>
      <c r="Y529" t="s">
        <v>50</v>
      </c>
      <c r="Z529" s="39"/>
      <c r="AA529" s="39"/>
      <c r="AB529" t="s">
        <v>62</v>
      </c>
      <c r="AC529" s="42">
        <v>43480</v>
      </c>
      <c r="AD529" s="42">
        <v>43803</v>
      </c>
      <c r="AE529" s="53" t="s">
        <v>51</v>
      </c>
      <c r="AF529" s="54" t="s">
        <v>35</v>
      </c>
      <c r="AG529" s="54"/>
      <c r="AH529" s="39" t="s">
        <v>52</v>
      </c>
      <c r="AI529" s="39" t="s">
        <v>52</v>
      </c>
    </row>
    <row r="530" spans="1:75" ht="17" x14ac:dyDescent="0.2">
      <c r="A530">
        <v>262</v>
      </c>
      <c r="B530">
        <v>583</v>
      </c>
      <c r="C530" t="s">
        <v>5388</v>
      </c>
      <c r="D530" s="39" t="s">
        <v>3263</v>
      </c>
      <c r="E530" s="39" t="s">
        <v>957</v>
      </c>
      <c r="F530" s="39" t="s">
        <v>35</v>
      </c>
      <c r="G530" s="39" t="s">
        <v>82</v>
      </c>
      <c r="I530" s="39" t="s">
        <v>3264</v>
      </c>
      <c r="J530" s="39" t="s">
        <v>35</v>
      </c>
      <c r="K530" t="s">
        <v>3265</v>
      </c>
      <c r="L530" t="s">
        <v>3266</v>
      </c>
      <c r="M530" s="6" t="s">
        <v>6083</v>
      </c>
      <c r="N530" t="s">
        <v>41</v>
      </c>
      <c r="O530" t="s">
        <v>3267</v>
      </c>
      <c r="P530" s="35" t="s">
        <v>191</v>
      </c>
      <c r="Q530" t="s">
        <v>100</v>
      </c>
      <c r="R530" t="s">
        <v>3268</v>
      </c>
      <c r="S530" s="6" t="s">
        <v>6266</v>
      </c>
      <c r="T530" s="43" t="s">
        <v>3269</v>
      </c>
      <c r="U530" s="43" t="s">
        <v>3270</v>
      </c>
      <c r="V530" t="s">
        <v>3271</v>
      </c>
      <c r="W530" s="57"/>
      <c r="X530" s="57"/>
      <c r="Y530" t="s">
        <v>894</v>
      </c>
      <c r="Z530" s="39"/>
      <c r="AA530" s="39"/>
      <c r="AB530" t="s">
        <v>100</v>
      </c>
      <c r="AC530" s="42">
        <v>38475</v>
      </c>
      <c r="AD530" s="42">
        <v>38860</v>
      </c>
      <c r="AE530" s="53" t="s">
        <v>51</v>
      </c>
      <c r="AF530" s="54" t="s">
        <v>35</v>
      </c>
      <c r="AG530" s="54"/>
      <c r="AH530" s="39" t="s">
        <v>52</v>
      </c>
      <c r="AI530" s="39" t="s">
        <v>52</v>
      </c>
    </row>
    <row r="531" spans="1:75" ht="17" x14ac:dyDescent="0.2">
      <c r="A531">
        <v>288</v>
      </c>
      <c r="B531">
        <v>53</v>
      </c>
      <c r="C531" t="s">
        <v>5396</v>
      </c>
      <c r="D531" s="39" t="s">
        <v>468</v>
      </c>
      <c r="E531" s="39" t="s">
        <v>469</v>
      </c>
      <c r="F531" s="39" t="s">
        <v>35</v>
      </c>
      <c r="G531" s="39" t="s">
        <v>55</v>
      </c>
      <c r="H531" s="34"/>
      <c r="I531" s="39" t="s">
        <v>470</v>
      </c>
      <c r="J531" s="39" t="s">
        <v>35</v>
      </c>
      <c r="K531" t="s">
        <v>471</v>
      </c>
      <c r="L531" s="49" t="s">
        <v>472</v>
      </c>
      <c r="M531" s="6" t="s">
        <v>35</v>
      </c>
      <c r="N531" t="s">
        <v>86</v>
      </c>
      <c r="O531" t="s">
        <v>49</v>
      </c>
      <c r="P531" s="35" t="s">
        <v>50</v>
      </c>
      <c r="Q531" t="s">
        <v>44</v>
      </c>
      <c r="R531" t="s">
        <v>473</v>
      </c>
      <c r="S531" s="6" t="s">
        <v>35</v>
      </c>
      <c r="T531" s="43" t="s">
        <v>134</v>
      </c>
      <c r="U531" s="43" t="s">
        <v>474</v>
      </c>
      <c r="W531" s="57"/>
      <c r="X531" s="57"/>
      <c r="Z531" s="39"/>
      <c r="AA531" s="39"/>
      <c r="AB531" t="s">
        <v>62</v>
      </c>
      <c r="AC531" s="42">
        <v>38896</v>
      </c>
      <c r="AD531" s="42">
        <v>39371</v>
      </c>
      <c r="AE531" s="53" t="s">
        <v>51</v>
      </c>
      <c r="AF531" s="54" t="s">
        <v>35</v>
      </c>
      <c r="AG531" s="54"/>
      <c r="AH531" s="39" t="s">
        <v>52</v>
      </c>
      <c r="AI531" s="39" t="s">
        <v>52</v>
      </c>
    </row>
    <row r="532" spans="1:75" ht="17" x14ac:dyDescent="0.2">
      <c r="A532">
        <v>44</v>
      </c>
      <c r="B532">
        <v>419</v>
      </c>
      <c r="C532" t="s">
        <v>5402</v>
      </c>
      <c r="D532" s="39" t="s">
        <v>2495</v>
      </c>
      <c r="E532" s="39" t="s">
        <v>469</v>
      </c>
      <c r="F532" s="39" t="s">
        <v>35</v>
      </c>
      <c r="G532" s="39" t="s">
        <v>139</v>
      </c>
      <c r="I532" s="39" t="s">
        <v>2496</v>
      </c>
      <c r="J532" s="39" t="s">
        <v>35</v>
      </c>
      <c r="K532" t="s">
        <v>2497</v>
      </c>
      <c r="L532" t="s">
        <v>2498</v>
      </c>
      <c r="M532" s="6" t="s">
        <v>3471</v>
      </c>
      <c r="N532" t="s">
        <v>59</v>
      </c>
      <c r="O532" t="s">
        <v>49</v>
      </c>
      <c r="P532" s="35" t="s">
        <v>50</v>
      </c>
      <c r="Q532" t="s">
        <v>44</v>
      </c>
      <c r="R532" t="s">
        <v>2498</v>
      </c>
      <c r="S532" s="6" t="s">
        <v>6267</v>
      </c>
      <c r="T532" s="43" t="s">
        <v>788</v>
      </c>
      <c r="U532" s="43" t="s">
        <v>797</v>
      </c>
      <c r="V532" t="s">
        <v>49</v>
      </c>
      <c r="W532" s="57"/>
      <c r="X532" s="57"/>
      <c r="Y532" t="s">
        <v>50</v>
      </c>
      <c r="Z532" s="39"/>
      <c r="AA532" s="39"/>
      <c r="AB532" t="s">
        <v>44</v>
      </c>
      <c r="AC532" s="42">
        <v>33240</v>
      </c>
      <c r="AD532" s="42">
        <v>33602</v>
      </c>
      <c r="AE532" s="53" t="s">
        <v>51</v>
      </c>
      <c r="AF532" s="54" t="s">
        <v>35</v>
      </c>
      <c r="AG532" s="54"/>
      <c r="AH532" s="39" t="s">
        <v>52</v>
      </c>
      <c r="AI532" s="39" t="s">
        <v>52</v>
      </c>
    </row>
    <row r="533" spans="1:75" ht="17" x14ac:dyDescent="0.2">
      <c r="A533">
        <v>313</v>
      </c>
      <c r="B533">
        <v>433</v>
      </c>
      <c r="C533" t="s">
        <v>5405</v>
      </c>
      <c r="D533" s="39" t="s">
        <v>2560</v>
      </c>
      <c r="E533" s="39" t="s">
        <v>469</v>
      </c>
      <c r="F533" s="39" t="s">
        <v>35</v>
      </c>
      <c r="G533" s="39" t="s">
        <v>55</v>
      </c>
      <c r="I533" s="39" t="s">
        <v>2561</v>
      </c>
      <c r="J533" s="39" t="s">
        <v>35</v>
      </c>
      <c r="K533" t="s">
        <v>2562</v>
      </c>
      <c r="L533" t="s">
        <v>2563</v>
      </c>
      <c r="M533" s="6" t="s">
        <v>6084</v>
      </c>
      <c r="N533" t="s">
        <v>59</v>
      </c>
      <c r="O533" t="s">
        <v>401</v>
      </c>
      <c r="P533" s="35" t="s">
        <v>50</v>
      </c>
      <c r="Q533" t="s">
        <v>76</v>
      </c>
      <c r="R533" t="s">
        <v>573</v>
      </c>
      <c r="S533" s="6" t="s">
        <v>3461</v>
      </c>
      <c r="T533" s="43" t="s">
        <v>2564</v>
      </c>
      <c r="U533" s="43" t="s">
        <v>927</v>
      </c>
      <c r="V533" t="s">
        <v>49</v>
      </c>
      <c r="W533" s="57"/>
      <c r="X533" s="57"/>
      <c r="Y533" t="s">
        <v>50</v>
      </c>
      <c r="Z533" s="39"/>
      <c r="AA533" s="39"/>
      <c r="AB533" t="s">
        <v>62</v>
      </c>
      <c r="AC533" s="42">
        <v>39476</v>
      </c>
      <c r="AD533" s="42">
        <v>39882</v>
      </c>
      <c r="AE533" s="53" t="s">
        <v>51</v>
      </c>
      <c r="AF533" s="54" t="s">
        <v>35</v>
      </c>
      <c r="AG533" s="54"/>
      <c r="AH533" s="39" t="s">
        <v>52</v>
      </c>
      <c r="AI533" s="39" t="s">
        <v>52</v>
      </c>
    </row>
    <row r="534" spans="1:75" ht="17" x14ac:dyDescent="0.2">
      <c r="A534">
        <v>16</v>
      </c>
      <c r="B534">
        <v>24</v>
      </c>
      <c r="C534" t="s">
        <v>5406</v>
      </c>
      <c r="D534" s="39" t="s">
        <v>264</v>
      </c>
      <c r="E534" s="39" t="s">
        <v>265</v>
      </c>
      <c r="F534" s="39" t="s">
        <v>35</v>
      </c>
      <c r="G534" s="39" t="s">
        <v>194</v>
      </c>
      <c r="I534" s="39" t="s">
        <v>266</v>
      </c>
      <c r="J534" s="39" t="s">
        <v>35</v>
      </c>
      <c r="K534" t="s">
        <v>267</v>
      </c>
      <c r="L534" t="s">
        <v>268</v>
      </c>
      <c r="M534" s="6" t="s">
        <v>4148</v>
      </c>
      <c r="N534" t="s">
        <v>86</v>
      </c>
      <c r="O534" t="s">
        <v>49</v>
      </c>
      <c r="P534" s="35" t="s">
        <v>50</v>
      </c>
      <c r="Q534" t="s">
        <v>44</v>
      </c>
      <c r="R534" t="s">
        <v>269</v>
      </c>
      <c r="S534" s="6" t="s">
        <v>4148</v>
      </c>
      <c r="T534" s="43" t="s">
        <v>270</v>
      </c>
      <c r="U534" s="43" t="s">
        <v>271</v>
      </c>
      <c r="V534" t="s">
        <v>49</v>
      </c>
      <c r="W534" s="57"/>
      <c r="X534" s="57"/>
      <c r="Y534" t="s">
        <v>50</v>
      </c>
      <c r="Z534" s="39"/>
      <c r="AA534" s="39"/>
      <c r="AB534" t="s">
        <v>44</v>
      </c>
      <c r="AC534" s="42">
        <v>33240</v>
      </c>
      <c r="AD534" s="42">
        <v>33602</v>
      </c>
      <c r="AE534" s="53" t="s">
        <v>51</v>
      </c>
      <c r="AF534" s="54" t="s">
        <v>35</v>
      </c>
      <c r="AG534" s="54"/>
      <c r="AH534" s="39" t="s">
        <v>52</v>
      </c>
      <c r="AI534" s="39" t="s">
        <v>52</v>
      </c>
    </row>
    <row r="535" spans="1:75" ht="17.25" customHeight="1" x14ac:dyDescent="0.2">
      <c r="A535">
        <v>12</v>
      </c>
      <c r="B535">
        <v>78</v>
      </c>
      <c r="C535" t="s">
        <v>5409</v>
      </c>
      <c r="D535" s="39" t="s">
        <v>642</v>
      </c>
      <c r="E535" s="39" t="s">
        <v>265</v>
      </c>
      <c r="F535" s="39" t="s">
        <v>35</v>
      </c>
      <c r="G535" s="39" t="s">
        <v>139</v>
      </c>
      <c r="I535" s="39" t="s">
        <v>643</v>
      </c>
      <c r="J535" s="39" t="s">
        <v>644</v>
      </c>
      <c r="K535" t="s">
        <v>645</v>
      </c>
      <c r="L535" s="49" t="s">
        <v>646</v>
      </c>
      <c r="M535" s="6" t="s">
        <v>153</v>
      </c>
      <c r="N535" s="36" t="s">
        <v>86</v>
      </c>
      <c r="O535" t="s">
        <v>49</v>
      </c>
      <c r="P535" s="35"/>
      <c r="Q535" t="s">
        <v>62</v>
      </c>
      <c r="R535" t="s">
        <v>171</v>
      </c>
      <c r="S535" s="6" t="s">
        <v>35</v>
      </c>
      <c r="T535" s="43" t="s">
        <v>482</v>
      </c>
      <c r="U535" s="43" t="s">
        <v>387</v>
      </c>
      <c r="V535" t="s">
        <v>49</v>
      </c>
      <c r="W535" s="57"/>
      <c r="X535" s="57"/>
      <c r="Y535" t="s">
        <v>50</v>
      </c>
      <c r="Z535" s="39"/>
      <c r="AA535" s="39"/>
      <c r="AB535" t="s">
        <v>62</v>
      </c>
      <c r="AC535" s="42">
        <v>33000</v>
      </c>
      <c r="AD535" s="42">
        <v>34233</v>
      </c>
      <c r="AE535" s="53" t="s">
        <v>239</v>
      </c>
      <c r="AF535" s="54" t="s">
        <v>35</v>
      </c>
      <c r="AG535" s="54"/>
      <c r="AH535" s="39" t="s">
        <v>70</v>
      </c>
      <c r="AI535" s="39" t="s">
        <v>52</v>
      </c>
    </row>
    <row r="536" spans="1:75" ht="17" x14ac:dyDescent="0.2">
      <c r="A536">
        <v>368</v>
      </c>
      <c r="B536">
        <v>299</v>
      </c>
      <c r="C536" t="s">
        <v>5412</v>
      </c>
      <c r="D536" s="39" t="s">
        <v>1885</v>
      </c>
      <c r="E536" s="39" t="s">
        <v>1886</v>
      </c>
      <c r="F536" s="39" t="s">
        <v>35</v>
      </c>
      <c r="G536" s="39" t="s">
        <v>160</v>
      </c>
      <c r="H536" s="34"/>
      <c r="I536" s="39" t="s">
        <v>1887</v>
      </c>
      <c r="J536" s="39" t="s">
        <v>35</v>
      </c>
      <c r="K536" t="s">
        <v>1888</v>
      </c>
      <c r="L536" t="s">
        <v>1889</v>
      </c>
      <c r="M536" s="6" t="s">
        <v>212</v>
      </c>
      <c r="N536" s="36" t="s">
        <v>86</v>
      </c>
      <c r="O536" t="s">
        <v>1890</v>
      </c>
      <c r="P536" s="35"/>
      <c r="Q536" t="s">
        <v>76</v>
      </c>
      <c r="R536" t="s">
        <v>58</v>
      </c>
      <c r="S536" s="6" t="s">
        <v>40</v>
      </c>
      <c r="T536" s="43" t="s">
        <v>288</v>
      </c>
      <c r="U536" s="43" t="s">
        <v>1267</v>
      </c>
      <c r="V536" t="s">
        <v>506</v>
      </c>
      <c r="W536" s="57"/>
      <c r="X536" s="57"/>
      <c r="Y536" t="s">
        <v>1825</v>
      </c>
      <c r="Z536" s="39"/>
      <c r="AA536" s="39"/>
      <c r="AB536" t="s">
        <v>62</v>
      </c>
      <c r="AC536" s="42">
        <v>41310</v>
      </c>
      <c r="AD536" s="42">
        <v>42128</v>
      </c>
      <c r="AE536" s="53" t="s">
        <v>116</v>
      </c>
      <c r="AF536" s="54" t="s">
        <v>35</v>
      </c>
      <c r="AG536" s="54"/>
      <c r="AH536" s="39" t="s">
        <v>52</v>
      </c>
      <c r="AI536" s="39" t="s">
        <v>52</v>
      </c>
    </row>
    <row r="537" spans="1:75" s="40" customFormat="1" ht="17" x14ac:dyDescent="0.2">
      <c r="A537">
        <v>378</v>
      </c>
      <c r="B537">
        <v>584</v>
      </c>
      <c r="C537" t="s">
        <v>5418</v>
      </c>
      <c r="D537" s="39" t="s">
        <v>3272</v>
      </c>
      <c r="E537" s="39" t="s">
        <v>3273</v>
      </c>
      <c r="F537" s="39" t="s">
        <v>35</v>
      </c>
      <c r="G537" s="39" t="s">
        <v>160</v>
      </c>
      <c r="H537"/>
      <c r="I537" s="39" t="s">
        <v>3274</v>
      </c>
      <c r="J537" s="39" t="s">
        <v>35</v>
      </c>
      <c r="K537" t="s">
        <v>3275</v>
      </c>
      <c r="L537" t="s">
        <v>3276</v>
      </c>
      <c r="M537" s="6" t="s">
        <v>3901</v>
      </c>
      <c r="N537" t="s">
        <v>59</v>
      </c>
      <c r="O537" t="s">
        <v>49</v>
      </c>
      <c r="P537" s="35" t="s">
        <v>50</v>
      </c>
      <c r="Q537" t="s">
        <v>44</v>
      </c>
      <c r="R537" t="s">
        <v>2632</v>
      </c>
      <c r="S537" s="6" t="s">
        <v>3461</v>
      </c>
      <c r="T537" s="43" t="s">
        <v>409</v>
      </c>
      <c r="U537" s="43" t="s">
        <v>779</v>
      </c>
      <c r="V537" t="s">
        <v>49</v>
      </c>
      <c r="W537" s="57"/>
      <c r="X537" s="57"/>
      <c r="Y537" t="s">
        <v>50</v>
      </c>
      <c r="Z537" s="39"/>
      <c r="AA537" s="39"/>
      <c r="AB537" t="s">
        <v>44</v>
      </c>
      <c r="AC537" s="42">
        <v>41666</v>
      </c>
      <c r="AD537" s="42">
        <v>41771</v>
      </c>
      <c r="AE537" s="53" t="s">
        <v>51</v>
      </c>
      <c r="AF537" s="54" t="s">
        <v>35</v>
      </c>
      <c r="AG537" s="54"/>
      <c r="AH537" s="39" t="s">
        <v>52</v>
      </c>
      <c r="AI537" s="39" t="s">
        <v>52</v>
      </c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</row>
    <row r="538" spans="1:75" ht="17" x14ac:dyDescent="0.2">
      <c r="A538">
        <v>259</v>
      </c>
      <c r="B538">
        <v>396</v>
      </c>
      <c r="C538" t="s">
        <v>5423</v>
      </c>
      <c r="D538" s="39" t="s">
        <v>2390</v>
      </c>
      <c r="E538" s="39" t="s">
        <v>2391</v>
      </c>
      <c r="F538" s="39" t="s">
        <v>35</v>
      </c>
      <c r="G538" s="39" t="s">
        <v>82</v>
      </c>
      <c r="I538" s="39" t="s">
        <v>2392</v>
      </c>
      <c r="J538" s="39" t="s">
        <v>35</v>
      </c>
      <c r="K538" t="s">
        <v>2393</v>
      </c>
      <c r="L538" t="s">
        <v>2394</v>
      </c>
      <c r="M538" s="6" t="s">
        <v>35</v>
      </c>
      <c r="N538" t="s">
        <v>86</v>
      </c>
      <c r="O538" t="s">
        <v>49</v>
      </c>
      <c r="P538" s="35"/>
      <c r="Q538" t="s">
        <v>44</v>
      </c>
      <c r="R538" t="s">
        <v>2395</v>
      </c>
      <c r="S538" s="6" t="s">
        <v>35</v>
      </c>
      <c r="T538" s="43" t="s">
        <v>494</v>
      </c>
      <c r="U538" s="43" t="s">
        <v>165</v>
      </c>
      <c r="V538" t="s">
        <v>49</v>
      </c>
      <c r="W538" s="57"/>
      <c r="X538" s="57"/>
      <c r="Y538" t="s">
        <v>50</v>
      </c>
      <c r="Z538" s="39"/>
      <c r="AA538" s="39"/>
      <c r="AB538" t="s">
        <v>44</v>
      </c>
      <c r="AC538" s="42">
        <v>38356</v>
      </c>
      <c r="AD538" s="42">
        <v>38860</v>
      </c>
      <c r="AE538" s="53" t="s">
        <v>51</v>
      </c>
      <c r="AF538" s="54" t="s">
        <v>35</v>
      </c>
      <c r="AG538" s="54"/>
      <c r="AH538" s="39" t="s">
        <v>52</v>
      </c>
      <c r="AI538" s="39" t="s">
        <v>52</v>
      </c>
    </row>
    <row r="539" spans="1:75" ht="17" x14ac:dyDescent="0.2">
      <c r="A539">
        <v>64</v>
      </c>
      <c r="B539">
        <v>345</v>
      </c>
      <c r="C539" t="s">
        <v>5429</v>
      </c>
      <c r="D539" s="39" t="s">
        <v>2121</v>
      </c>
      <c r="E539" s="39" t="s">
        <v>2122</v>
      </c>
      <c r="F539" s="39" t="s">
        <v>35</v>
      </c>
      <c r="G539" s="39" t="s">
        <v>194</v>
      </c>
      <c r="I539" s="39" t="s">
        <v>2123</v>
      </c>
      <c r="J539" s="39" t="s">
        <v>35</v>
      </c>
      <c r="K539" t="s">
        <v>2124</v>
      </c>
      <c r="L539" t="s">
        <v>2125</v>
      </c>
      <c r="M539" s="6" t="s">
        <v>6085</v>
      </c>
      <c r="N539" t="s">
        <v>59</v>
      </c>
      <c r="O539" t="s">
        <v>49</v>
      </c>
      <c r="P539" s="35" t="s">
        <v>50</v>
      </c>
      <c r="Q539" t="s">
        <v>1627</v>
      </c>
      <c r="R539" t="s">
        <v>2125</v>
      </c>
      <c r="S539" s="6" t="s">
        <v>212</v>
      </c>
      <c r="T539" s="43" t="s">
        <v>1809</v>
      </c>
      <c r="U539" s="43" t="s">
        <v>2126</v>
      </c>
      <c r="V539" t="s">
        <v>49</v>
      </c>
      <c r="W539" s="57"/>
      <c r="X539" s="57"/>
      <c r="Y539" t="s">
        <v>50</v>
      </c>
      <c r="Z539" s="39"/>
      <c r="AA539" s="39"/>
      <c r="AB539" t="s">
        <v>1627</v>
      </c>
      <c r="AC539" s="42">
        <v>33419</v>
      </c>
      <c r="AD539" s="42">
        <v>34233</v>
      </c>
      <c r="AE539" s="53" t="s">
        <v>51</v>
      </c>
      <c r="AF539" s="54" t="s">
        <v>35</v>
      </c>
      <c r="AG539" s="54"/>
      <c r="AH539" s="39" t="s">
        <v>52</v>
      </c>
      <c r="AI539" s="39" t="s">
        <v>52</v>
      </c>
    </row>
    <row r="540" spans="1:75" ht="17" x14ac:dyDescent="0.2">
      <c r="A540">
        <v>205</v>
      </c>
      <c r="B540">
        <v>6</v>
      </c>
      <c r="C540" t="s">
        <v>5431</v>
      </c>
      <c r="D540" s="39" t="s">
        <v>107</v>
      </c>
      <c r="E540" s="39" t="s">
        <v>108</v>
      </c>
      <c r="F540" s="39" t="s">
        <v>35</v>
      </c>
      <c r="G540" s="39" t="s">
        <v>82</v>
      </c>
      <c r="I540" s="39" t="s">
        <v>109</v>
      </c>
      <c r="J540" s="39" t="s">
        <v>110</v>
      </c>
      <c r="K540" t="s">
        <v>111</v>
      </c>
      <c r="L540" t="s">
        <v>112</v>
      </c>
      <c r="M540" s="6" t="s">
        <v>6086</v>
      </c>
      <c r="N540" t="s">
        <v>86</v>
      </c>
      <c r="O540" t="s">
        <v>49</v>
      </c>
      <c r="P540" s="35" t="s">
        <v>50</v>
      </c>
      <c r="Q540" t="s">
        <v>62</v>
      </c>
      <c r="R540" t="s">
        <v>113</v>
      </c>
      <c r="S540" s="6" t="s">
        <v>4787</v>
      </c>
      <c r="T540" s="43" t="s">
        <v>114</v>
      </c>
      <c r="U540" s="43" t="s">
        <v>65</v>
      </c>
      <c r="V540" t="s">
        <v>49</v>
      </c>
      <c r="W540" s="57"/>
      <c r="X540" s="57"/>
      <c r="Y540" t="s">
        <v>50</v>
      </c>
      <c r="Z540" s="39"/>
      <c r="AA540" s="39"/>
      <c r="AB540" t="s">
        <v>115</v>
      </c>
      <c r="AC540" s="42">
        <v>37387</v>
      </c>
      <c r="AD540" s="42">
        <v>38139</v>
      </c>
      <c r="AE540" s="53" t="s">
        <v>69</v>
      </c>
      <c r="AF540" s="54" t="s">
        <v>116</v>
      </c>
      <c r="AG540" s="54"/>
      <c r="AH540" s="39" t="s">
        <v>70</v>
      </c>
      <c r="AI540" s="39" t="s">
        <v>70</v>
      </c>
    </row>
    <row r="541" spans="1:75" ht="34" x14ac:dyDescent="0.2">
      <c r="A541">
        <v>271</v>
      </c>
      <c r="B541">
        <v>22</v>
      </c>
      <c r="C541" t="s">
        <v>5439</v>
      </c>
      <c r="D541" s="39" t="s">
        <v>247</v>
      </c>
      <c r="E541" s="39" t="s">
        <v>248</v>
      </c>
      <c r="F541" s="39" t="s">
        <v>35</v>
      </c>
      <c r="G541" s="39" t="s">
        <v>82</v>
      </c>
      <c r="I541" s="39" t="s">
        <v>249</v>
      </c>
      <c r="J541" s="39" t="s">
        <v>35</v>
      </c>
      <c r="K541" t="s">
        <v>250</v>
      </c>
      <c r="L541" t="s">
        <v>251</v>
      </c>
      <c r="M541" s="6" t="s">
        <v>3737</v>
      </c>
      <c r="N541" t="s">
        <v>86</v>
      </c>
      <c r="O541" t="s">
        <v>252</v>
      </c>
      <c r="P541" s="35" t="s">
        <v>50</v>
      </c>
      <c r="Q541" t="s">
        <v>180</v>
      </c>
      <c r="R541" t="s">
        <v>253</v>
      </c>
      <c r="S541" s="6" t="s">
        <v>6268</v>
      </c>
      <c r="T541" s="43" t="s">
        <v>254</v>
      </c>
      <c r="U541" s="43" t="s">
        <v>255</v>
      </c>
      <c r="V541" t="s">
        <v>252</v>
      </c>
      <c r="W541" s="57"/>
      <c r="X541" s="57"/>
      <c r="Y541" t="s">
        <v>50</v>
      </c>
      <c r="Z541" s="39"/>
      <c r="AA541" s="39"/>
      <c r="AB541" t="s">
        <v>76</v>
      </c>
      <c r="AC541" s="42">
        <v>38732</v>
      </c>
      <c r="AD541" s="42">
        <v>39083</v>
      </c>
      <c r="AE541" s="53" t="s">
        <v>51</v>
      </c>
      <c r="AF541" s="54" t="s">
        <v>35</v>
      </c>
      <c r="AG541" s="54"/>
      <c r="AH541" s="39" t="s">
        <v>52</v>
      </c>
      <c r="AI541" s="39" t="s">
        <v>52</v>
      </c>
    </row>
    <row r="542" spans="1:75" ht="17" x14ac:dyDescent="0.2">
      <c r="A542">
        <v>522</v>
      </c>
      <c r="B542">
        <v>61</v>
      </c>
      <c r="C542" t="s">
        <v>5444</v>
      </c>
      <c r="D542" s="39" t="s">
        <v>524</v>
      </c>
      <c r="E542" s="39" t="s">
        <v>248</v>
      </c>
      <c r="F542" s="39" t="s">
        <v>35</v>
      </c>
      <c r="G542" s="39" t="s">
        <v>36</v>
      </c>
      <c r="I542" s="39" t="s">
        <v>525</v>
      </c>
      <c r="J542" s="39" t="s">
        <v>35</v>
      </c>
      <c r="K542" t="s">
        <v>526</v>
      </c>
      <c r="L542" s="49" t="s">
        <v>133</v>
      </c>
      <c r="M542" s="6" t="s">
        <v>6087</v>
      </c>
      <c r="N542" t="s">
        <v>97</v>
      </c>
      <c r="O542" t="s">
        <v>401</v>
      </c>
      <c r="P542" s="35" t="s">
        <v>50</v>
      </c>
      <c r="Q542" t="s">
        <v>132</v>
      </c>
      <c r="R542" t="s">
        <v>527</v>
      </c>
      <c r="S542" s="6" t="s">
        <v>6269</v>
      </c>
      <c r="T542" s="43" t="s">
        <v>134</v>
      </c>
      <c r="U542" s="43" t="s">
        <v>528</v>
      </c>
      <c r="W542" s="57"/>
      <c r="X542" s="57"/>
      <c r="Z542" s="39"/>
      <c r="AA542" s="39"/>
      <c r="AB542" t="s">
        <v>132</v>
      </c>
      <c r="AC542" s="42">
        <v>43891</v>
      </c>
      <c r="AD542" s="42">
        <v>44621</v>
      </c>
      <c r="AE542" s="53" t="s">
        <v>51</v>
      </c>
      <c r="AF542" s="54" t="s">
        <v>35</v>
      </c>
      <c r="AG542" s="54"/>
      <c r="AH542" s="39" t="s">
        <v>52</v>
      </c>
      <c r="AI542" s="39" t="s">
        <v>52</v>
      </c>
    </row>
    <row r="543" spans="1:75" ht="17" x14ac:dyDescent="0.2">
      <c r="A543">
        <v>146</v>
      </c>
      <c r="B543">
        <v>89</v>
      </c>
      <c r="C543" t="s">
        <v>5445</v>
      </c>
      <c r="D543" s="39" t="s">
        <v>708</v>
      </c>
      <c r="E543" s="39" t="s">
        <v>248</v>
      </c>
      <c r="F543" s="39" t="s">
        <v>35</v>
      </c>
      <c r="G543" s="39" t="s">
        <v>205</v>
      </c>
      <c r="I543" s="39" t="s">
        <v>709</v>
      </c>
      <c r="J543" s="39" t="s">
        <v>35</v>
      </c>
      <c r="K543" t="s">
        <v>710</v>
      </c>
      <c r="L543" s="49" t="s">
        <v>711</v>
      </c>
      <c r="M543" s="6" t="s">
        <v>6088</v>
      </c>
      <c r="N543" t="s">
        <v>59</v>
      </c>
      <c r="O543" t="s">
        <v>49</v>
      </c>
      <c r="P543" s="35"/>
      <c r="Q543" t="s">
        <v>558</v>
      </c>
      <c r="R543" t="s">
        <v>712</v>
      </c>
      <c r="S543" s="6" t="s">
        <v>6270</v>
      </c>
      <c r="T543" s="43" t="s">
        <v>713</v>
      </c>
      <c r="U543" s="43" t="s">
        <v>714</v>
      </c>
      <c r="V543" t="s">
        <v>49</v>
      </c>
      <c r="W543" s="57"/>
      <c r="X543" s="57"/>
      <c r="Y543" t="s">
        <v>50</v>
      </c>
      <c r="Z543" s="39"/>
      <c r="AA543" s="39"/>
      <c r="AB543" t="s">
        <v>180</v>
      </c>
      <c r="AC543" s="42">
        <v>36280</v>
      </c>
      <c r="AD543" s="42">
        <v>37298</v>
      </c>
      <c r="AE543" s="53" t="s">
        <v>51</v>
      </c>
      <c r="AF543" s="54" t="s">
        <v>35</v>
      </c>
      <c r="AG543" s="54"/>
      <c r="AH543" s="39" t="s">
        <v>52</v>
      </c>
      <c r="AI543" s="39" t="s">
        <v>52</v>
      </c>
    </row>
    <row r="544" spans="1:75" ht="17" x14ac:dyDescent="0.2">
      <c r="A544">
        <v>440</v>
      </c>
      <c r="B544">
        <v>204</v>
      </c>
      <c r="C544" t="s">
        <v>5449</v>
      </c>
      <c r="D544" s="39" t="s">
        <v>1392</v>
      </c>
      <c r="E544" s="39" t="s">
        <v>248</v>
      </c>
      <c r="F544" s="39" t="s">
        <v>35</v>
      </c>
      <c r="G544" s="39" t="s">
        <v>36</v>
      </c>
      <c r="I544" s="39" t="s">
        <v>1393</v>
      </c>
      <c r="J544" s="39" t="s">
        <v>35</v>
      </c>
      <c r="K544" t="s">
        <v>1394</v>
      </c>
      <c r="L544" t="s">
        <v>1395</v>
      </c>
      <c r="M544" s="6" t="s">
        <v>3523</v>
      </c>
      <c r="N544" t="s">
        <v>97</v>
      </c>
      <c r="O544" t="s">
        <v>42</v>
      </c>
      <c r="P544" s="35" t="s">
        <v>43</v>
      </c>
      <c r="Q544" t="s">
        <v>44</v>
      </c>
      <c r="R544" t="s">
        <v>58</v>
      </c>
      <c r="S544" s="6" t="s">
        <v>3555</v>
      </c>
      <c r="T544" s="43" t="s">
        <v>1396</v>
      </c>
      <c r="U544" s="43" t="s">
        <v>838</v>
      </c>
      <c r="V544" t="s">
        <v>42</v>
      </c>
      <c r="W544" s="57"/>
      <c r="X544" s="57"/>
      <c r="Y544" t="s">
        <v>43</v>
      </c>
      <c r="Z544" s="39"/>
      <c r="AA544" s="39"/>
      <c r="AB544" t="s">
        <v>62</v>
      </c>
      <c r="AC544" s="42">
        <v>42886</v>
      </c>
      <c r="AD544" s="42">
        <v>44196</v>
      </c>
      <c r="AE544" s="53" t="s">
        <v>239</v>
      </c>
      <c r="AF544" s="54" t="s">
        <v>35</v>
      </c>
      <c r="AG544" s="54"/>
      <c r="AH544" s="39" t="s">
        <v>70</v>
      </c>
      <c r="AI544" s="39" t="s">
        <v>52</v>
      </c>
    </row>
    <row r="545" spans="1:35" ht="17" x14ac:dyDescent="0.2">
      <c r="A545">
        <v>588</v>
      </c>
      <c r="B545">
        <v>323</v>
      </c>
      <c r="C545" t="s">
        <v>5799</v>
      </c>
      <c r="D545" s="39" t="s">
        <v>2011</v>
      </c>
      <c r="E545" s="39" t="s">
        <v>248</v>
      </c>
      <c r="F545" s="39" t="s">
        <v>35</v>
      </c>
      <c r="G545" s="39" t="s">
        <v>259</v>
      </c>
      <c r="I545" s="39" t="s">
        <v>2012</v>
      </c>
      <c r="J545" s="39" t="s">
        <v>35</v>
      </c>
      <c r="K545" t="s">
        <v>2013</v>
      </c>
      <c r="L545" t="s">
        <v>1124</v>
      </c>
      <c r="M545" s="6" t="s">
        <v>6089</v>
      </c>
      <c r="N545" t="s">
        <v>131</v>
      </c>
      <c r="O545" t="s">
        <v>2014</v>
      </c>
      <c r="P545" s="35" t="s">
        <v>2015</v>
      </c>
      <c r="Q545" t="s">
        <v>44</v>
      </c>
      <c r="R545" t="s">
        <v>58</v>
      </c>
      <c r="S545" s="6" t="s">
        <v>6271</v>
      </c>
      <c r="T545" s="43" t="s">
        <v>246</v>
      </c>
      <c r="U545" s="43" t="s">
        <v>246</v>
      </c>
      <c r="V545" t="s">
        <v>2016</v>
      </c>
      <c r="W545" s="57"/>
      <c r="X545" s="57"/>
      <c r="Y545" t="s">
        <v>2017</v>
      </c>
      <c r="Z545" s="39"/>
      <c r="AA545" s="39"/>
      <c r="AB545" t="s">
        <v>62</v>
      </c>
      <c r="AC545" s="42">
        <v>44564</v>
      </c>
      <c r="AD545" s="43">
        <v>45298</v>
      </c>
      <c r="AE545" s="53" t="s">
        <v>51</v>
      </c>
      <c r="AF545" s="54" t="s">
        <v>35</v>
      </c>
      <c r="AG545" s="54"/>
      <c r="AH545" s="39" t="s">
        <v>52</v>
      </c>
      <c r="AI545" s="39" t="s">
        <v>52</v>
      </c>
    </row>
    <row r="546" spans="1:35" ht="17" x14ac:dyDescent="0.2">
      <c r="A546">
        <v>456</v>
      </c>
      <c r="B546">
        <v>435</v>
      </c>
      <c r="C546" t="s">
        <v>5451</v>
      </c>
      <c r="D546" s="39" t="s">
        <v>2567</v>
      </c>
      <c r="E546" s="39" t="s">
        <v>248</v>
      </c>
      <c r="F546" s="39" t="s">
        <v>35</v>
      </c>
      <c r="G546" s="39" t="s">
        <v>36</v>
      </c>
      <c r="I546" s="39" t="s">
        <v>2568</v>
      </c>
      <c r="J546" s="39" t="s">
        <v>35</v>
      </c>
      <c r="K546" t="s">
        <v>2569</v>
      </c>
      <c r="L546" t="s">
        <v>368</v>
      </c>
      <c r="M546" s="6" t="s">
        <v>3493</v>
      </c>
      <c r="N546" t="s">
        <v>59</v>
      </c>
      <c r="O546" t="s">
        <v>49</v>
      </c>
      <c r="P546" s="35"/>
      <c r="Q546" t="s">
        <v>62</v>
      </c>
      <c r="R546" t="s">
        <v>368</v>
      </c>
      <c r="S546" s="6" t="s">
        <v>3493</v>
      </c>
      <c r="T546" s="43" t="s">
        <v>135</v>
      </c>
      <c r="U546" s="43" t="s">
        <v>125</v>
      </c>
      <c r="V546" t="s">
        <v>49</v>
      </c>
      <c r="W546" s="57"/>
      <c r="X546" s="57"/>
      <c r="Y546" t="s">
        <v>50</v>
      </c>
      <c r="Z546" s="39"/>
      <c r="AA546" s="39"/>
      <c r="AB546" t="s">
        <v>62</v>
      </c>
      <c r="AC546" s="42">
        <v>43115</v>
      </c>
      <c r="AD546" s="42">
        <v>43805</v>
      </c>
      <c r="AE546" s="53" t="s">
        <v>69</v>
      </c>
      <c r="AF546" s="54" t="s">
        <v>35</v>
      </c>
      <c r="AG546" s="54"/>
      <c r="AH546" s="39" t="s">
        <v>52</v>
      </c>
      <c r="AI546" s="39" t="s">
        <v>70</v>
      </c>
    </row>
    <row r="547" spans="1:35" ht="17" x14ac:dyDescent="0.2">
      <c r="A547">
        <v>18</v>
      </c>
      <c r="B547">
        <v>47</v>
      </c>
      <c r="C547" t="s">
        <v>5452</v>
      </c>
      <c r="D547" s="39" t="s">
        <v>431</v>
      </c>
      <c r="E547" s="39" t="s">
        <v>432</v>
      </c>
      <c r="F547" s="39" t="s">
        <v>35</v>
      </c>
      <c r="G547" s="39" t="s">
        <v>139</v>
      </c>
      <c r="I547" s="39" t="s">
        <v>433</v>
      </c>
      <c r="J547" s="39" t="s">
        <v>35</v>
      </c>
      <c r="K547" t="s">
        <v>434</v>
      </c>
      <c r="L547" t="s">
        <v>435</v>
      </c>
      <c r="M547" s="6" t="s">
        <v>6090</v>
      </c>
      <c r="N547" t="s">
        <v>86</v>
      </c>
      <c r="O547" t="s">
        <v>190</v>
      </c>
      <c r="P547" s="35" t="s">
        <v>191</v>
      </c>
      <c r="Q547" t="s">
        <v>35</v>
      </c>
      <c r="R547" t="s">
        <v>436</v>
      </c>
      <c r="S547" s="6" t="s">
        <v>3501</v>
      </c>
      <c r="T547" s="43" t="s">
        <v>437</v>
      </c>
      <c r="U547" s="43" t="s">
        <v>438</v>
      </c>
      <c r="V547" t="s">
        <v>190</v>
      </c>
      <c r="W547" s="57" t="s">
        <v>49</v>
      </c>
      <c r="X547" s="57" t="s">
        <v>42</v>
      </c>
      <c r="Y547" t="s">
        <v>191</v>
      </c>
      <c r="Z547" s="39" t="s">
        <v>50</v>
      </c>
      <c r="AA547" s="39" t="s">
        <v>43</v>
      </c>
      <c r="AB547" t="s">
        <v>44</v>
      </c>
      <c r="AC547" s="42">
        <v>1991</v>
      </c>
      <c r="AD547" s="42">
        <v>34862</v>
      </c>
      <c r="AE547" s="53" t="s">
        <v>116</v>
      </c>
      <c r="AF547" s="54" t="s">
        <v>35</v>
      </c>
      <c r="AG547" s="54"/>
      <c r="AH547" s="39" t="s">
        <v>70</v>
      </c>
      <c r="AI547" s="39" t="s">
        <v>52</v>
      </c>
    </row>
    <row r="548" spans="1:35" ht="17" x14ac:dyDescent="0.2">
      <c r="A548">
        <v>420</v>
      </c>
      <c r="B548">
        <v>350</v>
      </c>
      <c r="C548" t="s">
        <v>5455</v>
      </c>
      <c r="D548" s="39" t="s">
        <v>2146</v>
      </c>
      <c r="E548" s="39" t="s">
        <v>432</v>
      </c>
      <c r="F548" s="39" t="s">
        <v>35</v>
      </c>
      <c r="G548" s="39" t="s">
        <v>36</v>
      </c>
      <c r="I548" s="39" t="s">
        <v>2147</v>
      </c>
      <c r="J548" s="39" t="s">
        <v>35</v>
      </c>
      <c r="K548" t="s">
        <v>2148</v>
      </c>
      <c r="L548" t="s">
        <v>1383</v>
      </c>
      <c r="M548" s="6" t="s">
        <v>4838</v>
      </c>
      <c r="N548" t="s">
        <v>41</v>
      </c>
      <c r="O548" t="s">
        <v>49</v>
      </c>
      <c r="P548" s="35" t="s">
        <v>50</v>
      </c>
      <c r="Q548" t="s">
        <v>62</v>
      </c>
      <c r="R548" t="s">
        <v>2149</v>
      </c>
      <c r="S548" s="6" t="s">
        <v>3717</v>
      </c>
      <c r="T548" s="43" t="s">
        <v>279</v>
      </c>
      <c r="U548" s="43" t="s">
        <v>280</v>
      </c>
      <c r="V548" t="s">
        <v>2150</v>
      </c>
      <c r="W548" s="57"/>
      <c r="X548" s="57"/>
      <c r="Y548" t="s">
        <v>2151</v>
      </c>
      <c r="Z548" s="39"/>
      <c r="AA548" s="39"/>
      <c r="AB548" t="s">
        <v>44</v>
      </c>
      <c r="AC548" s="42">
        <v>42513</v>
      </c>
      <c r="AD548" s="42">
        <v>43527</v>
      </c>
      <c r="AE548" s="53" t="s">
        <v>69</v>
      </c>
      <c r="AF548" s="54" t="s">
        <v>35</v>
      </c>
      <c r="AG548" s="54"/>
      <c r="AH548" s="39" t="s">
        <v>52</v>
      </c>
      <c r="AI548" s="39" t="s">
        <v>70</v>
      </c>
    </row>
    <row r="549" spans="1:35" ht="17" x14ac:dyDescent="0.2">
      <c r="A549">
        <v>141</v>
      </c>
      <c r="B549">
        <v>500</v>
      </c>
      <c r="C549" t="s">
        <v>5458</v>
      </c>
      <c r="D549" s="39" t="s">
        <v>2855</v>
      </c>
      <c r="E549" s="39" t="s">
        <v>2856</v>
      </c>
      <c r="F549" s="39" t="s">
        <v>35</v>
      </c>
      <c r="G549" s="39" t="s">
        <v>205</v>
      </c>
      <c r="I549" s="39" t="s">
        <v>2857</v>
      </c>
      <c r="J549" s="39" t="s">
        <v>35</v>
      </c>
      <c r="K549" t="s">
        <v>2858</v>
      </c>
      <c r="L549" t="s">
        <v>2859</v>
      </c>
      <c r="M549" s="6" t="s">
        <v>6091</v>
      </c>
      <c r="N549" t="s">
        <v>86</v>
      </c>
      <c r="O549" t="s">
        <v>42</v>
      </c>
      <c r="P549" s="35" t="s">
        <v>43</v>
      </c>
      <c r="Q549" t="s">
        <v>200</v>
      </c>
      <c r="R549" t="s">
        <v>2860</v>
      </c>
      <c r="S549" s="6" t="s">
        <v>6272</v>
      </c>
      <c r="T549" s="43" t="s">
        <v>804</v>
      </c>
      <c r="U549" s="43" t="s">
        <v>653</v>
      </c>
      <c r="W549" s="57"/>
      <c r="X549" s="57"/>
      <c r="Z549" s="39"/>
      <c r="AA549" s="39"/>
      <c r="AB549" t="s">
        <v>200</v>
      </c>
      <c r="AC549" s="42">
        <v>36280</v>
      </c>
      <c r="AD549" s="42">
        <v>37649</v>
      </c>
      <c r="AE549" s="53" t="s">
        <v>68</v>
      </c>
      <c r="AF549" s="54" t="s">
        <v>35</v>
      </c>
      <c r="AG549" s="54"/>
      <c r="AH549" s="39" t="s">
        <v>70</v>
      </c>
      <c r="AI549" s="39" t="s">
        <v>52</v>
      </c>
    </row>
    <row r="550" spans="1:35" ht="17" x14ac:dyDescent="0.2">
      <c r="A550">
        <v>476</v>
      </c>
      <c r="B550">
        <v>21</v>
      </c>
      <c r="C550" t="s">
        <v>5461</v>
      </c>
      <c r="D550" s="39" t="s">
        <v>240</v>
      </c>
      <c r="E550" s="39" t="s">
        <v>241</v>
      </c>
      <c r="F550" s="39" t="s">
        <v>35</v>
      </c>
      <c r="G550" s="39" t="s">
        <v>36</v>
      </c>
      <c r="I550" s="39" t="s">
        <v>242</v>
      </c>
      <c r="J550" s="39" t="s">
        <v>35</v>
      </c>
      <c r="K550" t="s">
        <v>243</v>
      </c>
      <c r="L550" t="s">
        <v>244</v>
      </c>
      <c r="M550" s="6" t="s">
        <v>6092</v>
      </c>
      <c r="N550" t="s">
        <v>97</v>
      </c>
      <c r="O550" t="s">
        <v>42</v>
      </c>
      <c r="P550" s="35" t="s">
        <v>43</v>
      </c>
      <c r="Q550" t="s">
        <v>44</v>
      </c>
      <c r="R550" t="s">
        <v>245</v>
      </c>
      <c r="S550" s="6" t="s">
        <v>3812</v>
      </c>
      <c r="T550" s="43" t="s">
        <v>48</v>
      </c>
      <c r="U550" s="43" t="s">
        <v>246</v>
      </c>
      <c r="V550" t="s">
        <v>49</v>
      </c>
      <c r="W550" s="57"/>
      <c r="X550" s="57"/>
      <c r="Y550" t="s">
        <v>50</v>
      </c>
      <c r="Z550" s="39"/>
      <c r="AA550" s="39"/>
      <c r="AB550" t="s">
        <v>44</v>
      </c>
      <c r="AC550" s="42">
        <v>43480</v>
      </c>
      <c r="AD550" s="42">
        <v>44627</v>
      </c>
      <c r="AE550" s="53" t="s">
        <v>51</v>
      </c>
      <c r="AF550" s="54" t="s">
        <v>35</v>
      </c>
      <c r="AG550" s="54"/>
      <c r="AH550" s="39" t="s">
        <v>52</v>
      </c>
      <c r="AI550" s="39" t="s">
        <v>52</v>
      </c>
    </row>
    <row r="551" spans="1:35" ht="17" x14ac:dyDescent="0.2">
      <c r="A551">
        <v>569</v>
      </c>
      <c r="B551">
        <v>403</v>
      </c>
      <c r="C551" t="s">
        <v>5810</v>
      </c>
      <c r="D551" s="39" t="s">
        <v>2418</v>
      </c>
      <c r="E551" s="39" t="s">
        <v>241</v>
      </c>
      <c r="F551" s="39" t="s">
        <v>35</v>
      </c>
      <c r="G551" s="39" t="s">
        <v>259</v>
      </c>
      <c r="I551" s="39" t="s">
        <v>2419</v>
      </c>
      <c r="J551" s="39" t="s">
        <v>35</v>
      </c>
      <c r="K551" t="s">
        <v>2420</v>
      </c>
      <c r="L551" t="s">
        <v>2421</v>
      </c>
      <c r="M551" s="6" t="s">
        <v>5435</v>
      </c>
      <c r="N551" t="s">
        <v>131</v>
      </c>
      <c r="O551" t="s">
        <v>42</v>
      </c>
      <c r="P551" s="35" t="s">
        <v>43</v>
      </c>
      <c r="Q551" t="s">
        <v>44</v>
      </c>
      <c r="R551" t="s">
        <v>2422</v>
      </c>
      <c r="S551" s="6" t="s">
        <v>6273</v>
      </c>
      <c r="T551" s="43" t="s">
        <v>213</v>
      </c>
      <c r="U551" s="43" t="s">
        <v>474</v>
      </c>
      <c r="V551" t="s">
        <v>836</v>
      </c>
      <c r="W551" s="57"/>
      <c r="X551" s="57"/>
      <c r="Y551" t="s">
        <v>356</v>
      </c>
      <c r="Z551" s="39"/>
      <c r="AA551" s="39"/>
      <c r="AB551" t="s">
        <v>44</v>
      </c>
      <c r="AC551" s="42">
        <v>44206</v>
      </c>
      <c r="AD551" s="42">
        <v>45301</v>
      </c>
      <c r="AE551" s="53" t="s">
        <v>239</v>
      </c>
      <c r="AF551" s="54" t="s">
        <v>35</v>
      </c>
      <c r="AG551" s="54"/>
      <c r="AH551" s="39" t="s">
        <v>70</v>
      </c>
      <c r="AI551" s="39" t="s">
        <v>52</v>
      </c>
    </row>
    <row r="552" spans="1:35" ht="17" x14ac:dyDescent="0.2">
      <c r="A552">
        <v>447</v>
      </c>
      <c r="B552">
        <v>412</v>
      </c>
      <c r="C552" t="s">
        <v>5463</v>
      </c>
      <c r="D552" s="39" t="s">
        <v>2461</v>
      </c>
      <c r="E552" s="39" t="s">
        <v>241</v>
      </c>
      <c r="F552" s="39" t="s">
        <v>35</v>
      </c>
      <c r="G552" s="39" t="s">
        <v>36</v>
      </c>
      <c r="I552" s="39" t="s">
        <v>2462</v>
      </c>
      <c r="J552" s="39" t="s">
        <v>35</v>
      </c>
      <c r="K552" t="s">
        <v>2463</v>
      </c>
      <c r="L552" t="s">
        <v>2464</v>
      </c>
      <c r="M552" s="6" t="s">
        <v>6093</v>
      </c>
      <c r="N552" t="s">
        <v>97</v>
      </c>
      <c r="O552" t="s">
        <v>1882</v>
      </c>
      <c r="P552" s="35" t="s">
        <v>50</v>
      </c>
      <c r="Q552" t="s">
        <v>76</v>
      </c>
      <c r="R552" t="s">
        <v>2465</v>
      </c>
      <c r="S552" s="6" t="s">
        <v>6274</v>
      </c>
      <c r="T552" s="43" t="s">
        <v>338</v>
      </c>
      <c r="U552" s="43" t="s">
        <v>165</v>
      </c>
      <c r="V552" t="s">
        <v>2016</v>
      </c>
      <c r="W552" s="57"/>
      <c r="X552" s="57"/>
      <c r="Y552" t="s">
        <v>2017</v>
      </c>
      <c r="Z552" s="39"/>
      <c r="AA552" s="39"/>
      <c r="AB552" t="s">
        <v>44</v>
      </c>
      <c r="AC552" s="42">
        <v>42886</v>
      </c>
      <c r="AD552" s="42">
        <v>43731</v>
      </c>
      <c r="AE552" s="53" t="s">
        <v>51</v>
      </c>
      <c r="AF552" s="54" t="s">
        <v>35</v>
      </c>
      <c r="AG552" s="54"/>
      <c r="AH552" s="39" t="s">
        <v>52</v>
      </c>
      <c r="AI552" s="39" t="s">
        <v>52</v>
      </c>
    </row>
    <row r="553" spans="1:35" ht="17" x14ac:dyDescent="0.2">
      <c r="A553">
        <v>71</v>
      </c>
      <c r="B553">
        <v>495</v>
      </c>
      <c r="C553" t="s">
        <v>5468</v>
      </c>
      <c r="D553" s="39" t="s">
        <v>2831</v>
      </c>
      <c r="E553" s="39" t="s">
        <v>2832</v>
      </c>
      <c r="F553" s="39" t="s">
        <v>35</v>
      </c>
      <c r="G553" s="39" t="s">
        <v>139</v>
      </c>
      <c r="I553" s="39" t="s">
        <v>2833</v>
      </c>
      <c r="J553" s="39" t="s">
        <v>35</v>
      </c>
      <c r="K553" t="s">
        <v>2834</v>
      </c>
      <c r="L553" t="s">
        <v>2835</v>
      </c>
      <c r="M553" s="6" t="s">
        <v>3610</v>
      </c>
      <c r="N553" t="s">
        <v>59</v>
      </c>
      <c r="O553" t="s">
        <v>572</v>
      </c>
      <c r="P553" s="35" t="s">
        <v>566</v>
      </c>
      <c r="Q553" t="s">
        <v>44</v>
      </c>
      <c r="S553" s="6" t="s">
        <v>6050</v>
      </c>
      <c r="T553" s="43" t="s">
        <v>35</v>
      </c>
      <c r="U553" s="43" t="s">
        <v>703</v>
      </c>
      <c r="W553" s="57"/>
      <c r="X553" s="57"/>
      <c r="Z553" s="39"/>
      <c r="AA553" s="39"/>
      <c r="AB553" t="s">
        <v>180</v>
      </c>
      <c r="AC553" s="42">
        <v>33419</v>
      </c>
      <c r="AD553" s="42">
        <v>34466</v>
      </c>
      <c r="AE553" s="53" t="s">
        <v>239</v>
      </c>
      <c r="AF553" s="54" t="s">
        <v>35</v>
      </c>
      <c r="AG553" s="54"/>
      <c r="AH553" s="39" t="s">
        <v>70</v>
      </c>
      <c r="AI553" s="39" t="s">
        <v>52</v>
      </c>
    </row>
    <row r="554" spans="1:35" ht="34" x14ac:dyDescent="0.2">
      <c r="A554" t="s">
        <v>35</v>
      </c>
      <c r="B554">
        <v>327</v>
      </c>
      <c r="C554" t="s">
        <v>5473</v>
      </c>
      <c r="D554" s="39" t="s">
        <v>2039</v>
      </c>
      <c r="E554" s="39" t="s">
        <v>2040</v>
      </c>
      <c r="F554" s="39" t="s">
        <v>35</v>
      </c>
      <c r="G554" s="39" t="s">
        <v>55</v>
      </c>
      <c r="I554" s="39" t="s">
        <v>2041</v>
      </c>
      <c r="J554" s="39" t="s">
        <v>35</v>
      </c>
      <c r="K554" t="s">
        <v>2042</v>
      </c>
      <c r="L554" t="s">
        <v>521</v>
      </c>
      <c r="M554" s="6" t="s">
        <v>6094</v>
      </c>
      <c r="N554" t="s">
        <v>86</v>
      </c>
      <c r="O554" t="s">
        <v>42</v>
      </c>
      <c r="P554" s="35" t="s">
        <v>43</v>
      </c>
      <c r="Q554" t="s">
        <v>44</v>
      </c>
      <c r="R554" t="s">
        <v>521</v>
      </c>
      <c r="S554" s="6" t="s">
        <v>5448</v>
      </c>
      <c r="T554" s="43" t="s">
        <v>494</v>
      </c>
      <c r="U554" s="43" t="s">
        <v>246</v>
      </c>
      <c r="V554" t="s">
        <v>49</v>
      </c>
      <c r="W554" s="57"/>
      <c r="X554" s="57"/>
      <c r="Y554" t="s">
        <v>50</v>
      </c>
      <c r="Z554" s="39"/>
      <c r="AA554" s="39"/>
      <c r="AB554" t="s">
        <v>44</v>
      </c>
      <c r="AC554" s="42">
        <v>40725</v>
      </c>
      <c r="AE554" s="53" t="s">
        <v>51</v>
      </c>
      <c r="AF554" s="54" t="s">
        <v>35</v>
      </c>
      <c r="AG554" s="54"/>
      <c r="AH554" s="39" t="s">
        <v>52</v>
      </c>
      <c r="AI554" s="39" t="s">
        <v>52</v>
      </c>
    </row>
    <row r="555" spans="1:35" ht="17" x14ac:dyDescent="0.2">
      <c r="A555" t="s">
        <v>35</v>
      </c>
      <c r="B555">
        <v>110</v>
      </c>
      <c r="C555" t="s">
        <v>5776</v>
      </c>
      <c r="D555" s="39" t="s">
        <v>846</v>
      </c>
      <c r="E555" s="39" t="s">
        <v>847</v>
      </c>
      <c r="F555" s="39" t="s">
        <v>848</v>
      </c>
      <c r="G555" s="39" t="s">
        <v>259</v>
      </c>
      <c r="I555" s="39" t="s">
        <v>849</v>
      </c>
      <c r="J555" s="39" t="s">
        <v>35</v>
      </c>
      <c r="K555" t="s">
        <v>850</v>
      </c>
      <c r="L555" s="49" t="s">
        <v>851</v>
      </c>
      <c r="M555" s="6" t="s">
        <v>212</v>
      </c>
      <c r="N555" t="s">
        <v>41</v>
      </c>
      <c r="O555" t="s">
        <v>836</v>
      </c>
      <c r="P555" s="35" t="s">
        <v>356</v>
      </c>
      <c r="Q555" t="s">
        <v>115</v>
      </c>
      <c r="R555" t="s">
        <v>852</v>
      </c>
      <c r="S555" s="6" t="s">
        <v>3501</v>
      </c>
      <c r="T555" s="43" t="s">
        <v>35</v>
      </c>
      <c r="U555" s="43" t="s">
        <v>35</v>
      </c>
      <c r="W555" s="57"/>
      <c r="X555" s="57"/>
      <c r="Z555" s="39"/>
      <c r="AA555" s="39"/>
      <c r="AB555" t="s">
        <v>35</v>
      </c>
      <c r="AC555" s="42">
        <v>44571</v>
      </c>
      <c r="AD555" s="42">
        <v>45297</v>
      </c>
      <c r="AE555" s="53" t="s">
        <v>51</v>
      </c>
      <c r="AF555" s="54" t="s">
        <v>35</v>
      </c>
      <c r="AG555" s="54"/>
      <c r="AH555" s="39" t="s">
        <v>52</v>
      </c>
      <c r="AI555" s="39" t="s">
        <v>52</v>
      </c>
    </row>
    <row r="556" spans="1:35" ht="17" x14ac:dyDescent="0.2">
      <c r="A556">
        <v>187</v>
      </c>
      <c r="B556">
        <v>81</v>
      </c>
      <c r="C556" t="s">
        <v>5476</v>
      </c>
      <c r="D556" s="39" t="s">
        <v>659</v>
      </c>
      <c r="E556" s="39" t="s">
        <v>660</v>
      </c>
      <c r="F556" s="39" t="s">
        <v>35</v>
      </c>
      <c r="G556" s="39" t="s">
        <v>82</v>
      </c>
      <c r="I556" s="39" t="s">
        <v>661</v>
      </c>
      <c r="J556" s="39" t="s">
        <v>662</v>
      </c>
      <c r="L556" s="49" t="s">
        <v>663</v>
      </c>
      <c r="M556" s="6" t="s">
        <v>3487</v>
      </c>
      <c r="N556" t="s">
        <v>59</v>
      </c>
      <c r="O556" t="s">
        <v>49</v>
      </c>
      <c r="P556" s="35" t="s">
        <v>50</v>
      </c>
      <c r="Q556" t="s">
        <v>115</v>
      </c>
      <c r="R556" t="s">
        <v>664</v>
      </c>
      <c r="S556" s="6" t="s">
        <v>4267</v>
      </c>
      <c r="T556" s="43" t="s">
        <v>665</v>
      </c>
      <c r="U556" s="43" t="s">
        <v>316</v>
      </c>
      <c r="W556" s="57"/>
      <c r="X556" s="57"/>
      <c r="Z556" s="39"/>
      <c r="AA556" s="39"/>
      <c r="AB556" t="s">
        <v>115</v>
      </c>
      <c r="AC556" s="42">
        <v>37013</v>
      </c>
      <c r="AD556" s="42">
        <v>37649</v>
      </c>
      <c r="AE556" s="53" t="s">
        <v>51</v>
      </c>
      <c r="AF556" s="54" t="s">
        <v>35</v>
      </c>
      <c r="AG556" s="54"/>
      <c r="AH556" s="39" t="s">
        <v>52</v>
      </c>
      <c r="AI556" s="39" t="s">
        <v>52</v>
      </c>
    </row>
    <row r="557" spans="1:35" ht="17" x14ac:dyDescent="0.2">
      <c r="A557">
        <v>223</v>
      </c>
      <c r="B557">
        <v>472</v>
      </c>
      <c r="C557" t="s">
        <v>5482</v>
      </c>
      <c r="D557" s="39" t="s">
        <v>2731</v>
      </c>
      <c r="E557" s="39" t="s">
        <v>660</v>
      </c>
      <c r="F557" s="39" t="s">
        <v>35</v>
      </c>
      <c r="G557" s="39" t="s">
        <v>82</v>
      </c>
      <c r="I557" s="39" t="s">
        <v>2732</v>
      </c>
      <c r="J557" s="39" t="s">
        <v>35</v>
      </c>
      <c r="K557" t="s">
        <v>2733</v>
      </c>
      <c r="L557" t="s">
        <v>2734</v>
      </c>
      <c r="M557" s="6" t="s">
        <v>3839</v>
      </c>
      <c r="N557" t="s">
        <v>59</v>
      </c>
      <c r="O557" t="s">
        <v>42</v>
      </c>
      <c r="P557" s="35" t="s">
        <v>43</v>
      </c>
      <c r="Q557" t="s">
        <v>44</v>
      </c>
      <c r="R557" t="s">
        <v>2735</v>
      </c>
      <c r="S557" s="6" t="s">
        <v>64</v>
      </c>
      <c r="T557" s="43" t="s">
        <v>509</v>
      </c>
      <c r="U557" s="43" t="s">
        <v>1852</v>
      </c>
      <c r="V557" t="s">
        <v>42</v>
      </c>
      <c r="W557" s="57"/>
      <c r="X557" s="57"/>
      <c r="Y557" t="s">
        <v>43</v>
      </c>
      <c r="Z557" s="39"/>
      <c r="AA557" s="39"/>
      <c r="AB557" t="s">
        <v>44</v>
      </c>
      <c r="AC557" s="42">
        <v>37642</v>
      </c>
      <c r="AD557" s="42">
        <v>38007</v>
      </c>
      <c r="AE557" s="53" t="s">
        <v>403</v>
      </c>
      <c r="AF557" s="54" t="s">
        <v>35</v>
      </c>
      <c r="AG557" s="54"/>
      <c r="AH557" s="39" t="s">
        <v>52</v>
      </c>
      <c r="AI557" s="39" t="s">
        <v>70</v>
      </c>
    </row>
    <row r="558" spans="1:35" ht="17" x14ac:dyDescent="0.2">
      <c r="A558">
        <v>80</v>
      </c>
      <c r="B558">
        <v>506</v>
      </c>
      <c r="C558" t="s">
        <v>5486</v>
      </c>
      <c r="D558" s="39" t="s">
        <v>2885</v>
      </c>
      <c r="E558" s="39" t="s">
        <v>660</v>
      </c>
      <c r="F558" s="39" t="s">
        <v>35</v>
      </c>
      <c r="G558" s="39" t="s">
        <v>205</v>
      </c>
      <c r="I558" s="39" t="s">
        <v>2886</v>
      </c>
      <c r="J558" s="39" t="s">
        <v>35</v>
      </c>
      <c r="K558" t="s">
        <v>2887</v>
      </c>
      <c r="L558" t="s">
        <v>2888</v>
      </c>
      <c r="M558" s="6" t="s">
        <v>6095</v>
      </c>
      <c r="N558" t="s">
        <v>2889</v>
      </c>
      <c r="P558" s="35"/>
      <c r="Q558" t="s">
        <v>35</v>
      </c>
      <c r="R558" t="s">
        <v>2890</v>
      </c>
      <c r="S558" s="6" t="s">
        <v>153</v>
      </c>
      <c r="T558" s="43" t="s">
        <v>65</v>
      </c>
      <c r="U558" s="43" t="s">
        <v>255</v>
      </c>
      <c r="V558" t="s">
        <v>49</v>
      </c>
      <c r="W558" s="57"/>
      <c r="X558" s="57"/>
      <c r="Y558" t="s">
        <v>50</v>
      </c>
      <c r="Z558" s="39"/>
      <c r="AA558" s="39"/>
      <c r="AB558" t="s">
        <v>558</v>
      </c>
      <c r="AC558" s="42">
        <v>33865</v>
      </c>
      <c r="AD558" s="42">
        <v>34425</v>
      </c>
      <c r="AE558" s="53" t="s">
        <v>51</v>
      </c>
      <c r="AF558" s="54" t="s">
        <v>35</v>
      </c>
      <c r="AG558" s="54"/>
      <c r="AH558" s="39" t="s">
        <v>52</v>
      </c>
      <c r="AI558" s="39" t="s">
        <v>52</v>
      </c>
    </row>
    <row r="559" spans="1:35" ht="17" x14ac:dyDescent="0.2">
      <c r="A559">
        <v>563</v>
      </c>
      <c r="B559">
        <v>526</v>
      </c>
      <c r="C559" t="s">
        <v>5490</v>
      </c>
      <c r="D559" s="39" t="s">
        <v>2987</v>
      </c>
      <c r="E559" s="39" t="s">
        <v>660</v>
      </c>
      <c r="F559" s="39" t="s">
        <v>35</v>
      </c>
      <c r="G559" s="39" t="s">
        <v>259</v>
      </c>
      <c r="H559" s="34"/>
      <c r="I559" s="39" t="s">
        <v>2988</v>
      </c>
      <c r="J559" s="39" t="s">
        <v>2989</v>
      </c>
      <c r="K559" t="s">
        <v>2990</v>
      </c>
      <c r="L559" t="s">
        <v>1044</v>
      </c>
      <c r="M559" s="6" t="s">
        <v>4337</v>
      </c>
      <c r="N559" t="s">
        <v>59</v>
      </c>
      <c r="O559" t="s">
        <v>572</v>
      </c>
      <c r="P559" s="35" t="s">
        <v>566</v>
      </c>
      <c r="Q559" t="s">
        <v>62</v>
      </c>
      <c r="R559" t="s">
        <v>2991</v>
      </c>
      <c r="S559" s="6" t="s">
        <v>5456</v>
      </c>
      <c r="T559" s="43" t="s">
        <v>246</v>
      </c>
      <c r="U559" s="43" t="s">
        <v>625</v>
      </c>
      <c r="V559" t="s">
        <v>190</v>
      </c>
      <c r="W559" s="57"/>
      <c r="X559" s="57"/>
      <c r="Y559" t="s">
        <v>191</v>
      </c>
      <c r="Z559" s="39"/>
      <c r="AA559" s="39"/>
      <c r="AB559" t="s">
        <v>76</v>
      </c>
      <c r="AC559" s="42">
        <v>44228</v>
      </c>
      <c r="AD559" s="42">
        <v>44713</v>
      </c>
      <c r="AE559" s="53" t="s">
        <v>51</v>
      </c>
      <c r="AF559" s="54" t="s">
        <v>35</v>
      </c>
      <c r="AG559" s="54"/>
      <c r="AH559" s="39" t="s">
        <v>52</v>
      </c>
      <c r="AI559" s="39" t="s">
        <v>52</v>
      </c>
    </row>
    <row r="560" spans="1:35" ht="17" x14ac:dyDescent="0.2">
      <c r="A560">
        <v>84</v>
      </c>
      <c r="B560">
        <v>303</v>
      </c>
      <c r="C560" t="s">
        <v>5493</v>
      </c>
      <c r="D560" s="39" t="s">
        <v>1908</v>
      </c>
      <c r="E560" s="39" t="s">
        <v>1909</v>
      </c>
      <c r="F560" s="39" t="s">
        <v>35</v>
      </c>
      <c r="G560" s="39" t="s">
        <v>194</v>
      </c>
      <c r="I560" s="39" t="s">
        <v>1910</v>
      </c>
      <c r="J560" s="39" t="s">
        <v>35</v>
      </c>
      <c r="K560" t="s">
        <v>1911</v>
      </c>
      <c r="L560" t="s">
        <v>1912</v>
      </c>
      <c r="M560" s="6" t="s">
        <v>4927</v>
      </c>
      <c r="N560" t="s">
        <v>86</v>
      </c>
      <c r="O560" t="s">
        <v>910</v>
      </c>
      <c r="P560" s="35" t="s">
        <v>356</v>
      </c>
      <c r="Q560" t="s">
        <v>132</v>
      </c>
      <c r="R560" t="s">
        <v>1913</v>
      </c>
      <c r="S560" s="6" t="s">
        <v>2355</v>
      </c>
      <c r="T560" s="43" t="s">
        <v>698</v>
      </c>
      <c r="U560" s="43" t="s">
        <v>1655</v>
      </c>
      <c r="W560" s="57"/>
      <c r="X560" s="57"/>
      <c r="Z560" s="39"/>
      <c r="AA560" s="39"/>
      <c r="AB560" t="s">
        <v>115</v>
      </c>
      <c r="AC560" s="42">
        <v>34074</v>
      </c>
      <c r="AD560" s="42">
        <v>35185</v>
      </c>
      <c r="AE560" s="53" t="s">
        <v>453</v>
      </c>
      <c r="AF560" s="54" t="s">
        <v>1914</v>
      </c>
      <c r="AG560" s="54"/>
      <c r="AH560" s="39" t="s">
        <v>70</v>
      </c>
      <c r="AI560" s="39" t="s">
        <v>52</v>
      </c>
    </row>
    <row r="561" spans="1:35" ht="17" x14ac:dyDescent="0.2">
      <c r="A561">
        <v>148</v>
      </c>
      <c r="B561">
        <v>194</v>
      </c>
      <c r="C561" t="s">
        <v>5498</v>
      </c>
      <c r="D561" s="39" t="s">
        <v>1342</v>
      </c>
      <c r="E561" s="39" t="s">
        <v>1343</v>
      </c>
      <c r="F561" s="39" t="s">
        <v>35</v>
      </c>
      <c r="G561" s="39" t="s">
        <v>205</v>
      </c>
      <c r="I561" s="39" t="s">
        <v>1344</v>
      </c>
      <c r="J561" s="39" t="s">
        <v>35</v>
      </c>
      <c r="K561" t="s">
        <v>1345</v>
      </c>
      <c r="L561" t="s">
        <v>1346</v>
      </c>
      <c r="M561" s="6" t="s">
        <v>6096</v>
      </c>
      <c r="N561" t="s">
        <v>86</v>
      </c>
      <c r="O561" t="s">
        <v>1347</v>
      </c>
      <c r="P561" s="35"/>
      <c r="Q561" t="s">
        <v>35</v>
      </c>
      <c r="R561" t="s">
        <v>1348</v>
      </c>
      <c r="S561" s="6" t="s">
        <v>5529</v>
      </c>
      <c r="T561" s="43" t="s">
        <v>1349</v>
      </c>
      <c r="U561" s="43" t="s">
        <v>1350</v>
      </c>
      <c r="V561" t="s">
        <v>1347</v>
      </c>
      <c r="W561" s="57"/>
      <c r="X561" s="57"/>
      <c r="Y561" t="s">
        <v>50</v>
      </c>
      <c r="Z561" s="39"/>
      <c r="AA561" s="39"/>
      <c r="AB561" t="s">
        <v>87</v>
      </c>
      <c r="AC561" s="42">
        <v>36280</v>
      </c>
      <c r="AD561" s="42">
        <v>36584</v>
      </c>
      <c r="AE561" s="53" t="s">
        <v>51</v>
      </c>
      <c r="AF561" s="54" t="s">
        <v>35</v>
      </c>
      <c r="AG561" s="54"/>
      <c r="AH561" s="39" t="s">
        <v>52</v>
      </c>
      <c r="AI561" s="39" t="s">
        <v>52</v>
      </c>
    </row>
    <row r="562" spans="1:35" ht="17" x14ac:dyDescent="0.2">
      <c r="A562">
        <v>139</v>
      </c>
      <c r="B562">
        <v>283</v>
      </c>
      <c r="C562" t="s">
        <v>5506</v>
      </c>
      <c r="D562" s="39" t="s">
        <v>1799</v>
      </c>
      <c r="E562" s="39" t="s">
        <v>1806</v>
      </c>
      <c r="F562" s="39" t="s">
        <v>35</v>
      </c>
      <c r="G562" s="39" t="s">
        <v>205</v>
      </c>
      <c r="I562" s="39" t="s">
        <v>1800</v>
      </c>
      <c r="J562" s="39" t="s">
        <v>35</v>
      </c>
      <c r="K562" t="s">
        <v>1807</v>
      </c>
      <c r="L562" t="s">
        <v>573</v>
      </c>
      <c r="M562" s="6" t="s">
        <v>6097</v>
      </c>
      <c r="N562" t="s">
        <v>86</v>
      </c>
      <c r="O562" t="s">
        <v>49</v>
      </c>
      <c r="P562" s="35" t="s">
        <v>50</v>
      </c>
      <c r="Q562" t="s">
        <v>62</v>
      </c>
      <c r="R562" t="s">
        <v>1808</v>
      </c>
      <c r="S562" s="6" t="s">
        <v>6275</v>
      </c>
      <c r="T562" s="43" t="s">
        <v>1809</v>
      </c>
      <c r="U562" s="43" t="s">
        <v>1810</v>
      </c>
      <c r="V562" t="s">
        <v>1803</v>
      </c>
      <c r="W562" s="57"/>
      <c r="X562" s="57"/>
      <c r="Y562" t="s">
        <v>50</v>
      </c>
      <c r="Z562" s="39"/>
      <c r="AA562" s="39"/>
      <c r="AB562" t="s">
        <v>62</v>
      </c>
      <c r="AC562" s="42">
        <v>36280</v>
      </c>
      <c r="AD562" s="42">
        <v>37298</v>
      </c>
      <c r="AE562" s="53" t="s">
        <v>68</v>
      </c>
      <c r="AF562" s="54" t="s">
        <v>35</v>
      </c>
      <c r="AG562" s="54"/>
      <c r="AH562" s="39" t="s">
        <v>70</v>
      </c>
      <c r="AI562" s="39" t="s">
        <v>52</v>
      </c>
    </row>
    <row r="563" spans="1:35" ht="17" x14ac:dyDescent="0.2">
      <c r="A563">
        <v>159</v>
      </c>
      <c r="B563">
        <v>473</v>
      </c>
      <c r="C563" t="s">
        <v>5513</v>
      </c>
      <c r="D563" s="39" t="s">
        <v>2736</v>
      </c>
      <c r="E563" s="39" t="s">
        <v>1806</v>
      </c>
      <c r="F563" s="39" t="s">
        <v>35</v>
      </c>
      <c r="G563" s="39" t="s">
        <v>205</v>
      </c>
      <c r="H563" s="34"/>
      <c r="I563" s="39" t="s">
        <v>2737</v>
      </c>
      <c r="J563" s="39" t="s">
        <v>35</v>
      </c>
      <c r="K563" t="s">
        <v>2738</v>
      </c>
      <c r="L563" t="s">
        <v>163</v>
      </c>
      <c r="M563" s="6" t="s">
        <v>40</v>
      </c>
      <c r="N563" t="s">
        <v>86</v>
      </c>
      <c r="O563" t="s">
        <v>42</v>
      </c>
      <c r="P563" s="35" t="s">
        <v>43</v>
      </c>
      <c r="Q563" t="s">
        <v>62</v>
      </c>
      <c r="R563" t="s">
        <v>2739</v>
      </c>
      <c r="S563" s="6" t="s">
        <v>40</v>
      </c>
      <c r="T563" s="43" t="s">
        <v>213</v>
      </c>
      <c r="U563" s="43" t="s">
        <v>459</v>
      </c>
      <c r="V563" t="s">
        <v>42</v>
      </c>
      <c r="W563" s="57"/>
      <c r="X563" s="57"/>
      <c r="Y563" t="s">
        <v>43</v>
      </c>
      <c r="Z563" s="39"/>
      <c r="AA563" s="39"/>
      <c r="AB563" t="s">
        <v>62</v>
      </c>
      <c r="AC563" s="42">
        <v>36655</v>
      </c>
      <c r="AD563" s="42">
        <v>37298</v>
      </c>
      <c r="AE563" s="53" t="s">
        <v>157</v>
      </c>
      <c r="AF563" s="54" t="s">
        <v>35</v>
      </c>
      <c r="AG563" s="54"/>
      <c r="AH563" s="39" t="s">
        <v>70</v>
      </c>
      <c r="AI563" s="39" t="s">
        <v>52</v>
      </c>
    </row>
    <row r="564" spans="1:35" ht="17" x14ac:dyDescent="0.2">
      <c r="A564">
        <v>384</v>
      </c>
      <c r="B564">
        <v>492</v>
      </c>
      <c r="C564" t="s">
        <v>5519</v>
      </c>
      <c r="D564" s="39" t="s">
        <v>2819</v>
      </c>
      <c r="E564" s="39" t="s">
        <v>1806</v>
      </c>
      <c r="F564" s="39" t="s">
        <v>35</v>
      </c>
      <c r="G564" s="39" t="s">
        <v>160</v>
      </c>
      <c r="H564" s="34"/>
      <c r="I564" s="39" t="s">
        <v>2820</v>
      </c>
      <c r="J564" s="39" t="s">
        <v>35</v>
      </c>
      <c r="K564" t="s">
        <v>2821</v>
      </c>
      <c r="L564" t="s">
        <v>837</v>
      </c>
      <c r="M564" s="6" t="s">
        <v>5471</v>
      </c>
      <c r="N564" s="37" t="s">
        <v>59</v>
      </c>
      <c r="O564" t="s">
        <v>839</v>
      </c>
      <c r="P564" s="35"/>
      <c r="Q564" t="s">
        <v>115</v>
      </c>
      <c r="R564" t="s">
        <v>837</v>
      </c>
      <c r="S564" s="6" t="s">
        <v>703</v>
      </c>
      <c r="T564" s="43" t="s">
        <v>224</v>
      </c>
      <c r="U564" s="43" t="s">
        <v>103</v>
      </c>
      <c r="V564" t="s">
        <v>839</v>
      </c>
      <c r="W564" s="57"/>
      <c r="X564" s="57"/>
      <c r="Y564" t="s">
        <v>354</v>
      </c>
      <c r="Z564" s="39"/>
      <c r="AA564" s="39"/>
      <c r="AB564" t="s">
        <v>115</v>
      </c>
      <c r="AC564" s="42">
        <v>41799</v>
      </c>
      <c r="AD564" s="42">
        <v>42499</v>
      </c>
      <c r="AE564" s="53" t="s">
        <v>453</v>
      </c>
      <c r="AF564" s="54" t="s">
        <v>35</v>
      </c>
      <c r="AG564" s="54"/>
      <c r="AH564" s="39" t="s">
        <v>70</v>
      </c>
      <c r="AI564" s="39" t="s">
        <v>52</v>
      </c>
    </row>
    <row r="565" spans="1:35" ht="17" x14ac:dyDescent="0.2">
      <c r="A565">
        <v>525</v>
      </c>
      <c r="B565">
        <v>121</v>
      </c>
      <c r="C565" t="s">
        <v>5523</v>
      </c>
      <c r="D565" s="39" t="s">
        <v>919</v>
      </c>
      <c r="E565" s="39" t="s">
        <v>928</v>
      </c>
      <c r="F565" s="39" t="s">
        <v>35</v>
      </c>
      <c r="G565" s="39" t="s">
        <v>36</v>
      </c>
      <c r="H565" s="34"/>
      <c r="I565" s="39" t="s">
        <v>922</v>
      </c>
      <c r="J565" s="39" t="s">
        <v>35</v>
      </c>
      <c r="K565" t="s">
        <v>929</v>
      </c>
      <c r="L565" s="49" t="s">
        <v>930</v>
      </c>
      <c r="M565" s="6" t="s">
        <v>6098</v>
      </c>
      <c r="N565" t="s">
        <v>97</v>
      </c>
      <c r="O565" t="s">
        <v>49</v>
      </c>
      <c r="P565" s="35" t="s">
        <v>50</v>
      </c>
      <c r="Q565" t="s">
        <v>35</v>
      </c>
      <c r="S565" s="6" t="s">
        <v>6276</v>
      </c>
      <c r="T565" s="43" t="s">
        <v>213</v>
      </c>
      <c r="U565" s="43" t="s">
        <v>324</v>
      </c>
      <c r="V565" t="s">
        <v>49</v>
      </c>
      <c r="W565" s="57"/>
      <c r="X565" s="57"/>
      <c r="Y565" t="s">
        <v>50</v>
      </c>
      <c r="Z565" s="39"/>
      <c r="AA565" s="39"/>
      <c r="AB565" t="s">
        <v>62</v>
      </c>
      <c r="AC565" s="42">
        <v>43836</v>
      </c>
      <c r="AD565" s="42">
        <v>44932</v>
      </c>
      <c r="AE565" s="53" t="s">
        <v>51</v>
      </c>
      <c r="AF565" s="54" t="s">
        <v>35</v>
      </c>
      <c r="AG565" s="54"/>
      <c r="AH565" s="39" t="s">
        <v>52</v>
      </c>
      <c r="AI565" s="39" t="s">
        <v>52</v>
      </c>
    </row>
    <row r="566" spans="1:35" ht="16.25" customHeight="1" x14ac:dyDescent="0.2">
      <c r="A566">
        <v>337</v>
      </c>
      <c r="B566">
        <v>384</v>
      </c>
      <c r="C566" t="s">
        <v>5527</v>
      </c>
      <c r="D566" s="39" t="s">
        <v>2325</v>
      </c>
      <c r="E566" s="39" t="s">
        <v>2326</v>
      </c>
      <c r="F566" s="39" t="s">
        <v>35</v>
      </c>
      <c r="G566" s="39" t="s">
        <v>160</v>
      </c>
      <c r="H566" s="34"/>
      <c r="I566" s="39" t="s">
        <v>2327</v>
      </c>
      <c r="J566" s="39" t="s">
        <v>35</v>
      </c>
      <c r="K566" t="s">
        <v>2328</v>
      </c>
      <c r="L566" t="s">
        <v>2329</v>
      </c>
      <c r="M566" s="6" t="s">
        <v>6099</v>
      </c>
      <c r="N566" s="36" t="s">
        <v>86</v>
      </c>
      <c r="O566" t="s">
        <v>836</v>
      </c>
      <c r="P566" s="35" t="s">
        <v>354</v>
      </c>
      <c r="Q566" t="s">
        <v>44</v>
      </c>
      <c r="R566" t="s">
        <v>2330</v>
      </c>
      <c r="S566" s="6" t="s">
        <v>35</v>
      </c>
      <c r="T566" s="43" t="s">
        <v>1655</v>
      </c>
      <c r="U566" s="43" t="s">
        <v>818</v>
      </c>
      <c r="V566" t="s">
        <v>836</v>
      </c>
      <c r="W566" s="57"/>
      <c r="X566" s="57"/>
      <c r="Y566" t="s">
        <v>356</v>
      </c>
      <c r="Z566" s="39"/>
      <c r="AA566" s="39"/>
      <c r="AB566" t="s">
        <v>44</v>
      </c>
      <c r="AC566" s="42">
        <v>40568</v>
      </c>
      <c r="AD566" s="42">
        <v>40695</v>
      </c>
      <c r="AE566" s="53" t="s">
        <v>51</v>
      </c>
      <c r="AF566" s="54" t="s">
        <v>35</v>
      </c>
      <c r="AG566" s="54"/>
      <c r="AH566" s="39" t="s">
        <v>52</v>
      </c>
      <c r="AI566" s="39" t="s">
        <v>52</v>
      </c>
    </row>
    <row r="567" spans="1:35" ht="17" x14ac:dyDescent="0.2">
      <c r="B567">
        <v>11</v>
      </c>
      <c r="C567" t="s">
        <v>5531</v>
      </c>
      <c r="D567" s="39" t="s">
        <v>158</v>
      </c>
      <c r="E567" s="39" t="s">
        <v>159</v>
      </c>
      <c r="F567" s="39" t="s">
        <v>35</v>
      </c>
      <c r="G567" s="39" t="s">
        <v>160</v>
      </c>
      <c r="I567" s="39" t="s">
        <v>35</v>
      </c>
      <c r="J567" s="39" t="s">
        <v>35</v>
      </c>
      <c r="K567" t="s">
        <v>161</v>
      </c>
      <c r="L567" t="s">
        <v>162</v>
      </c>
      <c r="M567" s="6" t="s">
        <v>5480</v>
      </c>
      <c r="N567" t="s">
        <v>86</v>
      </c>
      <c r="P567" s="35"/>
      <c r="Q567" t="s">
        <v>35</v>
      </c>
      <c r="R567" t="s">
        <v>163</v>
      </c>
      <c r="S567" s="6" t="s">
        <v>3571</v>
      </c>
      <c r="T567" s="43" t="s">
        <v>164</v>
      </c>
      <c r="U567" s="43" t="s">
        <v>165</v>
      </c>
      <c r="V567" t="s">
        <v>49</v>
      </c>
      <c r="W567" s="57"/>
      <c r="X567" s="57"/>
      <c r="Y567" t="s">
        <v>50</v>
      </c>
      <c r="Z567" s="39"/>
      <c r="AA567" s="39"/>
      <c r="AB567" t="s">
        <v>62</v>
      </c>
      <c r="AC567" s="42">
        <v>42159</v>
      </c>
      <c r="AD567" s="42">
        <v>42170</v>
      </c>
      <c r="AE567" s="53" t="s">
        <v>51</v>
      </c>
      <c r="AF567" s="54" t="s">
        <v>35</v>
      </c>
      <c r="AG567" s="54"/>
      <c r="AH567" s="39" t="s">
        <v>52</v>
      </c>
      <c r="AI567" s="39" t="s">
        <v>52</v>
      </c>
    </row>
    <row r="568" spans="1:35" ht="17" x14ac:dyDescent="0.2">
      <c r="A568">
        <v>66</v>
      </c>
      <c r="B568">
        <v>413</v>
      </c>
      <c r="C568" t="s">
        <v>5535</v>
      </c>
      <c r="D568" s="39" t="s">
        <v>2466</v>
      </c>
      <c r="E568" s="39" t="s">
        <v>159</v>
      </c>
      <c r="F568" s="39" t="s">
        <v>35</v>
      </c>
      <c r="G568" s="39" t="s">
        <v>194</v>
      </c>
      <c r="H568" s="34"/>
      <c r="I568" s="39" t="s">
        <v>35</v>
      </c>
      <c r="J568" s="39" t="s">
        <v>35</v>
      </c>
      <c r="L568" t="s">
        <v>35</v>
      </c>
      <c r="M568" s="6" t="s">
        <v>3839</v>
      </c>
      <c r="P568" s="35"/>
      <c r="Q568" t="s">
        <v>35</v>
      </c>
      <c r="S568" s="6" t="s">
        <v>6277</v>
      </c>
      <c r="T568" s="43" t="s">
        <v>35</v>
      </c>
      <c r="U568" s="43" t="s">
        <v>35</v>
      </c>
      <c r="W568" s="57"/>
      <c r="X568" s="57"/>
      <c r="Z568" s="39"/>
      <c r="AA568" s="39"/>
      <c r="AB568" t="s">
        <v>35</v>
      </c>
      <c r="AC568" s="42">
        <v>33419</v>
      </c>
      <c r="AD568" s="42">
        <v>34233</v>
      </c>
      <c r="AE568" s="53" t="s">
        <v>51</v>
      </c>
      <c r="AF568" s="54" t="s">
        <v>35</v>
      </c>
      <c r="AG568" s="54"/>
      <c r="AH568" s="39" t="s">
        <v>52</v>
      </c>
      <c r="AI568" s="39" t="s">
        <v>52</v>
      </c>
    </row>
    <row r="569" spans="1:35" ht="17" x14ac:dyDescent="0.2">
      <c r="A569">
        <v>173</v>
      </c>
      <c r="B569">
        <v>611</v>
      </c>
      <c r="C569" t="s">
        <v>5536</v>
      </c>
      <c r="D569" s="39" t="s">
        <v>3400</v>
      </c>
      <c r="E569" s="39" t="s">
        <v>159</v>
      </c>
      <c r="F569" s="39" t="s">
        <v>35</v>
      </c>
      <c r="G569" s="39" t="s">
        <v>205</v>
      </c>
      <c r="H569" s="34"/>
      <c r="I569" s="39" t="s">
        <v>3401</v>
      </c>
      <c r="J569" s="39" t="s">
        <v>35</v>
      </c>
      <c r="K569" t="s">
        <v>3402</v>
      </c>
      <c r="L569" t="s">
        <v>3403</v>
      </c>
      <c r="M569" s="6" t="s">
        <v>2889</v>
      </c>
      <c r="N569" s="37" t="s">
        <v>59</v>
      </c>
      <c r="O569" t="s">
        <v>1952</v>
      </c>
      <c r="P569" s="35" t="s">
        <v>50</v>
      </c>
      <c r="Q569" t="s">
        <v>911</v>
      </c>
      <c r="R569" t="s">
        <v>3404</v>
      </c>
      <c r="S569" s="6" t="s">
        <v>5488</v>
      </c>
      <c r="T569" s="43" t="s">
        <v>3405</v>
      </c>
      <c r="U569" s="43" t="s">
        <v>1484</v>
      </c>
      <c r="V569" t="s">
        <v>401</v>
      </c>
      <c r="W569" s="57"/>
      <c r="X569" s="57"/>
      <c r="Y569" t="s">
        <v>50</v>
      </c>
      <c r="Z569" s="39"/>
      <c r="AA569" s="39"/>
      <c r="AB569" t="s">
        <v>200</v>
      </c>
      <c r="AC569" s="42">
        <v>36871</v>
      </c>
      <c r="AD569" s="42">
        <v>37649</v>
      </c>
      <c r="AE569" s="53" t="s">
        <v>68</v>
      </c>
      <c r="AF569" s="54" t="s">
        <v>35</v>
      </c>
      <c r="AG569" s="54"/>
      <c r="AH569" s="39" t="s">
        <v>52</v>
      </c>
      <c r="AI569" s="39" t="s">
        <v>52</v>
      </c>
    </row>
    <row r="570" spans="1:35" ht="17" x14ac:dyDescent="0.2">
      <c r="A570">
        <v>111</v>
      </c>
      <c r="B570">
        <v>16</v>
      </c>
      <c r="C570" t="s">
        <v>5543</v>
      </c>
      <c r="D570" s="39" t="s">
        <v>203</v>
      </c>
      <c r="E570" s="39" t="s">
        <v>204</v>
      </c>
      <c r="F570" s="39" t="s">
        <v>35</v>
      </c>
      <c r="G570" s="39" t="s">
        <v>205</v>
      </c>
      <c r="I570" s="39" t="s">
        <v>35</v>
      </c>
      <c r="J570" s="39" t="s">
        <v>35</v>
      </c>
      <c r="M570" s="6" t="s">
        <v>3901</v>
      </c>
      <c r="P570" s="35"/>
      <c r="Q570" t="s">
        <v>35</v>
      </c>
      <c r="S570" s="6" t="s">
        <v>6253</v>
      </c>
      <c r="T570" s="43" t="s">
        <v>35</v>
      </c>
      <c r="U570" s="43" t="s">
        <v>35</v>
      </c>
      <c r="W570" s="57"/>
      <c r="X570" s="57"/>
      <c r="Z570" s="39"/>
      <c r="AA570" s="39"/>
      <c r="AB570" t="s">
        <v>35</v>
      </c>
      <c r="AC570" s="42">
        <v>35488</v>
      </c>
      <c r="AD570" s="42">
        <v>35674</v>
      </c>
      <c r="AE570" s="53" t="s">
        <v>51</v>
      </c>
      <c r="AF570" s="54" t="s">
        <v>35</v>
      </c>
      <c r="AG570" s="54"/>
      <c r="AH570" s="39" t="s">
        <v>52</v>
      </c>
      <c r="AI570" s="39" t="s">
        <v>52</v>
      </c>
    </row>
    <row r="571" spans="1:35" ht="17" x14ac:dyDescent="0.2">
      <c r="A571">
        <v>230</v>
      </c>
      <c r="B571">
        <v>54</v>
      </c>
      <c r="C571" t="s">
        <v>5545</v>
      </c>
      <c r="D571" s="39" t="s">
        <v>475</v>
      </c>
      <c r="E571" s="39" t="s">
        <v>204</v>
      </c>
      <c r="F571" s="39" t="s">
        <v>35</v>
      </c>
      <c r="G571" s="39" t="s">
        <v>82</v>
      </c>
      <c r="I571" s="39" t="s">
        <v>476</v>
      </c>
      <c r="J571" s="39" t="s">
        <v>35</v>
      </c>
      <c r="K571" t="s">
        <v>477</v>
      </c>
      <c r="L571" s="49" t="s">
        <v>478</v>
      </c>
      <c r="M571" s="6" t="s">
        <v>3493</v>
      </c>
      <c r="N571" s="36" t="s">
        <v>86</v>
      </c>
      <c r="O571" t="s">
        <v>49</v>
      </c>
      <c r="P571" s="35"/>
      <c r="Q571" t="s">
        <v>479</v>
      </c>
      <c r="R571" t="s">
        <v>480</v>
      </c>
      <c r="S571" s="6" t="s">
        <v>5497</v>
      </c>
      <c r="T571" s="43" t="s">
        <v>481</v>
      </c>
      <c r="U571" s="43" t="s">
        <v>482</v>
      </c>
      <c r="V571" t="s">
        <v>49</v>
      </c>
      <c r="W571" s="57"/>
      <c r="X571" s="57"/>
      <c r="Y571" t="s">
        <v>50</v>
      </c>
      <c r="Z571" s="39"/>
      <c r="AA571" s="39"/>
      <c r="AB571" t="s">
        <v>479</v>
      </c>
      <c r="AC571" s="42">
        <v>37797</v>
      </c>
      <c r="AD571" s="42">
        <v>39882</v>
      </c>
      <c r="AE571" s="53" t="s">
        <v>453</v>
      </c>
      <c r="AF571" s="54" t="s">
        <v>35</v>
      </c>
      <c r="AG571" s="54"/>
      <c r="AH571" s="39" t="s">
        <v>70</v>
      </c>
      <c r="AI571" s="39" t="s">
        <v>52</v>
      </c>
    </row>
    <row r="572" spans="1:35" ht="17" x14ac:dyDescent="0.2">
      <c r="A572">
        <v>2</v>
      </c>
      <c r="B572">
        <v>56</v>
      </c>
      <c r="C572" t="s">
        <v>5550</v>
      </c>
      <c r="D572" s="39" t="s">
        <v>490</v>
      </c>
      <c r="E572" s="39" t="s">
        <v>204</v>
      </c>
      <c r="F572" s="39" t="s">
        <v>35</v>
      </c>
      <c r="G572" s="39" t="s">
        <v>139</v>
      </c>
      <c r="I572" s="39" t="s">
        <v>491</v>
      </c>
      <c r="J572" s="39" t="s">
        <v>35</v>
      </c>
      <c r="K572" t="s">
        <v>492</v>
      </c>
      <c r="L572" s="49" t="s">
        <v>493</v>
      </c>
      <c r="M572" s="6" t="s">
        <v>6100</v>
      </c>
      <c r="N572" t="s">
        <v>86</v>
      </c>
      <c r="O572" t="s">
        <v>49</v>
      </c>
      <c r="P572" s="35" t="s">
        <v>50</v>
      </c>
      <c r="Q572" t="s">
        <v>44</v>
      </c>
      <c r="R572" t="s">
        <v>277</v>
      </c>
      <c r="S572" s="6" t="s">
        <v>6278</v>
      </c>
      <c r="T572" s="43" t="s">
        <v>202</v>
      </c>
      <c r="U572" s="43" t="s">
        <v>494</v>
      </c>
      <c r="V572" t="s">
        <v>49</v>
      </c>
      <c r="W572" s="57"/>
      <c r="X572" s="57"/>
      <c r="Y572" t="s">
        <v>50</v>
      </c>
      <c r="Z572" s="39"/>
      <c r="AA572" s="39"/>
      <c r="AB572" t="s">
        <v>44</v>
      </c>
      <c r="AC572" s="42">
        <v>32464</v>
      </c>
      <c r="AD572" s="42">
        <v>34233</v>
      </c>
      <c r="AE572" s="53" t="s">
        <v>116</v>
      </c>
      <c r="AF572" s="54" t="s">
        <v>35</v>
      </c>
      <c r="AG572" s="54"/>
      <c r="AH572" s="39" t="s">
        <v>70</v>
      </c>
      <c r="AI572" s="39" t="s">
        <v>52</v>
      </c>
    </row>
    <row r="573" spans="1:35" ht="17" x14ac:dyDescent="0.2">
      <c r="A573">
        <v>218</v>
      </c>
      <c r="B573">
        <v>86</v>
      </c>
      <c r="C573" t="s">
        <v>5553</v>
      </c>
      <c r="D573" s="39" t="s">
        <v>687</v>
      </c>
      <c r="E573" s="39" t="s">
        <v>204</v>
      </c>
      <c r="F573" s="39" t="s">
        <v>35</v>
      </c>
      <c r="G573" s="39" t="s">
        <v>82</v>
      </c>
      <c r="I573" s="39" t="s">
        <v>688</v>
      </c>
      <c r="J573" s="39" t="s">
        <v>35</v>
      </c>
      <c r="K573" t="s">
        <v>689</v>
      </c>
      <c r="M573" s="6" t="s">
        <v>3600</v>
      </c>
      <c r="N573" t="s">
        <v>59</v>
      </c>
      <c r="O573" t="s">
        <v>690</v>
      </c>
      <c r="P573" s="35"/>
      <c r="Q573" t="s">
        <v>62</v>
      </c>
      <c r="R573" t="s">
        <v>631</v>
      </c>
      <c r="S573" s="6" t="s">
        <v>3501</v>
      </c>
      <c r="T573" s="43" t="s">
        <v>417</v>
      </c>
      <c r="U573" s="43" t="s">
        <v>135</v>
      </c>
      <c r="V573" t="s">
        <v>49</v>
      </c>
      <c r="W573" s="57"/>
      <c r="X573" s="57"/>
      <c r="Y573" t="s">
        <v>50</v>
      </c>
      <c r="Z573" s="39"/>
      <c r="AA573" s="39"/>
      <c r="AB573" t="s">
        <v>62</v>
      </c>
      <c r="AC573" s="42">
        <v>37642</v>
      </c>
      <c r="AD573" s="42">
        <v>38860</v>
      </c>
      <c r="AE573" s="53" t="s">
        <v>691</v>
      </c>
      <c r="AF573" s="54" t="s">
        <v>35</v>
      </c>
      <c r="AG573" s="54"/>
      <c r="AH573" s="39" t="s">
        <v>52</v>
      </c>
      <c r="AI573" s="39" t="s">
        <v>70</v>
      </c>
    </row>
    <row r="574" spans="1:35" ht="34" x14ac:dyDescent="0.2">
      <c r="A574">
        <v>486</v>
      </c>
      <c r="B574">
        <v>96</v>
      </c>
      <c r="C574" t="s">
        <v>5555</v>
      </c>
      <c r="D574" s="39" t="s">
        <v>750</v>
      </c>
      <c r="E574" s="39" t="s">
        <v>204</v>
      </c>
      <c r="F574" s="39" t="s">
        <v>35</v>
      </c>
      <c r="G574" s="39" t="s">
        <v>36</v>
      </c>
      <c r="I574" s="39" t="s">
        <v>751</v>
      </c>
      <c r="J574" s="39" t="s">
        <v>35</v>
      </c>
      <c r="K574" t="s">
        <v>752</v>
      </c>
      <c r="L574" s="49" t="s">
        <v>753</v>
      </c>
      <c r="M574" s="6" t="s">
        <v>3493</v>
      </c>
      <c r="N574" t="s">
        <v>97</v>
      </c>
      <c r="O574" t="s">
        <v>190</v>
      </c>
      <c r="P574" s="35" t="s">
        <v>191</v>
      </c>
      <c r="Q574" t="s">
        <v>44</v>
      </c>
      <c r="R574" t="s">
        <v>754</v>
      </c>
      <c r="S574" s="6" t="s">
        <v>5517</v>
      </c>
      <c r="T574" s="43" t="s">
        <v>755</v>
      </c>
      <c r="U574" s="43" t="s">
        <v>528</v>
      </c>
      <c r="V574" t="s">
        <v>49</v>
      </c>
      <c r="W574" s="57"/>
      <c r="X574" s="57"/>
      <c r="Y574" t="s">
        <v>50</v>
      </c>
      <c r="Z574" s="39"/>
      <c r="AA574" s="39"/>
      <c r="AB574" t="s">
        <v>44</v>
      </c>
      <c r="AC574" s="42">
        <v>43115</v>
      </c>
      <c r="AD574" s="42">
        <v>44105</v>
      </c>
      <c r="AE574" s="53" t="s">
        <v>756</v>
      </c>
      <c r="AF574" s="54" t="s">
        <v>757</v>
      </c>
      <c r="AG574" s="54"/>
      <c r="AH574" s="39" t="s">
        <v>70</v>
      </c>
      <c r="AI574" s="39" t="s">
        <v>52</v>
      </c>
    </row>
    <row r="575" spans="1:35" ht="17" x14ac:dyDescent="0.2">
      <c r="A575">
        <v>172</v>
      </c>
      <c r="B575">
        <v>115</v>
      </c>
      <c r="C575" t="s">
        <v>5557</v>
      </c>
      <c r="D575" s="39" t="s">
        <v>881</v>
      </c>
      <c r="E575" s="39" t="s">
        <v>204</v>
      </c>
      <c r="F575" s="39" t="s">
        <v>35</v>
      </c>
      <c r="G575" s="39" t="s">
        <v>205</v>
      </c>
      <c r="I575" s="39" t="s">
        <v>882</v>
      </c>
      <c r="J575" s="39" t="s">
        <v>35</v>
      </c>
      <c r="K575" t="s">
        <v>883</v>
      </c>
      <c r="L575" s="49" t="s">
        <v>884</v>
      </c>
      <c r="M575" s="6" t="s">
        <v>4273</v>
      </c>
      <c r="N575" t="s">
        <v>86</v>
      </c>
      <c r="O575" t="s">
        <v>49</v>
      </c>
      <c r="P575" s="35" t="s">
        <v>50</v>
      </c>
      <c r="Q575" t="s">
        <v>811</v>
      </c>
      <c r="R575" t="s">
        <v>885</v>
      </c>
      <c r="S575" s="6" t="s">
        <v>6279</v>
      </c>
      <c r="T575" s="43" t="s">
        <v>481</v>
      </c>
      <c r="U575" s="43" t="s">
        <v>886</v>
      </c>
      <c r="W575" s="57"/>
      <c r="X575" s="57"/>
      <c r="Z575" s="39"/>
      <c r="AA575" s="39"/>
      <c r="AB575" t="s">
        <v>811</v>
      </c>
      <c r="AC575" s="42">
        <v>36871</v>
      </c>
      <c r="AD575" s="42">
        <v>37649</v>
      </c>
      <c r="AE575" s="53" t="s">
        <v>51</v>
      </c>
      <c r="AF575" s="54" t="s">
        <v>35</v>
      </c>
      <c r="AG575" s="54"/>
      <c r="AH575" s="39" t="s">
        <v>52</v>
      </c>
      <c r="AI575" s="39" t="s">
        <v>52</v>
      </c>
    </row>
    <row r="576" spans="1:35" ht="17" x14ac:dyDescent="0.2">
      <c r="A576">
        <v>89</v>
      </c>
      <c r="B576">
        <v>265</v>
      </c>
      <c r="C576" t="s">
        <v>5560</v>
      </c>
      <c r="D576" s="39" t="s">
        <v>1728</v>
      </c>
      <c r="E576" s="39" t="s">
        <v>204</v>
      </c>
      <c r="F576" s="39" t="s">
        <v>35</v>
      </c>
      <c r="G576" s="39" t="s">
        <v>82</v>
      </c>
      <c r="I576" s="39" t="s">
        <v>1729</v>
      </c>
      <c r="J576" s="39" t="s">
        <v>35</v>
      </c>
      <c r="K576" t="s">
        <v>1730</v>
      </c>
      <c r="L576" t="s">
        <v>1731</v>
      </c>
      <c r="M576" s="6" t="s">
        <v>6101</v>
      </c>
      <c r="N576" t="s">
        <v>59</v>
      </c>
      <c r="O576" t="s">
        <v>49</v>
      </c>
      <c r="P576" s="35" t="s">
        <v>50</v>
      </c>
      <c r="Q576" t="s">
        <v>44</v>
      </c>
      <c r="R576" t="s">
        <v>657</v>
      </c>
      <c r="S576" s="6" t="s">
        <v>35</v>
      </c>
      <c r="T576" s="43" t="s">
        <v>1732</v>
      </c>
      <c r="U576" s="43" t="s">
        <v>459</v>
      </c>
      <c r="V576" t="s">
        <v>49</v>
      </c>
      <c r="W576" s="57"/>
      <c r="X576" s="57"/>
      <c r="Y576" t="s">
        <v>50</v>
      </c>
      <c r="Z576" s="39"/>
      <c r="AA576" s="39"/>
      <c r="AB576" t="s">
        <v>44</v>
      </c>
      <c r="AC576" s="42">
        <v>34236</v>
      </c>
      <c r="AD576" s="42">
        <v>34824</v>
      </c>
      <c r="AE576" s="53" t="s">
        <v>116</v>
      </c>
      <c r="AF576" s="54" t="s">
        <v>35</v>
      </c>
      <c r="AG576" s="54"/>
      <c r="AH576" s="39" t="s">
        <v>52</v>
      </c>
      <c r="AI576" s="39" t="s">
        <v>52</v>
      </c>
    </row>
    <row r="577" spans="1:35" ht="17" x14ac:dyDescent="0.2">
      <c r="A577">
        <v>32</v>
      </c>
      <c r="B577">
        <v>275</v>
      </c>
      <c r="C577" t="s">
        <v>5562</v>
      </c>
      <c r="D577" s="39" t="s">
        <v>1760</v>
      </c>
      <c r="E577" s="39" t="s">
        <v>204</v>
      </c>
      <c r="F577" s="39" t="s">
        <v>35</v>
      </c>
      <c r="G577" s="39" t="s">
        <v>139</v>
      </c>
      <c r="I577" s="39" t="s">
        <v>1761</v>
      </c>
      <c r="J577" s="39" t="s">
        <v>35</v>
      </c>
      <c r="K577" t="s">
        <v>1762</v>
      </c>
      <c r="L577" t="s">
        <v>1763</v>
      </c>
      <c r="M577" s="6" t="s">
        <v>35</v>
      </c>
      <c r="N577" t="s">
        <v>59</v>
      </c>
      <c r="O577" t="s">
        <v>49</v>
      </c>
      <c r="P577" s="35"/>
      <c r="Q577" t="s">
        <v>87</v>
      </c>
      <c r="R577" t="s">
        <v>1763</v>
      </c>
      <c r="S577" s="6" t="s">
        <v>35</v>
      </c>
      <c r="T577" s="43" t="s">
        <v>400</v>
      </c>
      <c r="U577" s="43" t="s">
        <v>66</v>
      </c>
      <c r="V577" t="s">
        <v>49</v>
      </c>
      <c r="W577" s="57"/>
      <c r="X577" s="57"/>
      <c r="Y577" t="s">
        <v>50</v>
      </c>
      <c r="Z577" s="39"/>
      <c r="AA577" s="39"/>
      <c r="AB577" t="s">
        <v>87</v>
      </c>
      <c r="AC577" s="42">
        <v>33240</v>
      </c>
      <c r="AD577" s="42">
        <v>33868</v>
      </c>
      <c r="AE577" s="53" t="s">
        <v>51</v>
      </c>
      <c r="AF577" s="54" t="s">
        <v>35</v>
      </c>
      <c r="AG577" s="54"/>
      <c r="AH577" s="39" t="s">
        <v>52</v>
      </c>
      <c r="AI577" s="39" t="s">
        <v>52</v>
      </c>
    </row>
    <row r="578" spans="1:35" ht="17" x14ac:dyDescent="0.2">
      <c r="A578">
        <v>248</v>
      </c>
      <c r="B578">
        <v>289</v>
      </c>
      <c r="C578" t="s">
        <v>5565</v>
      </c>
      <c r="D578" s="39" t="s">
        <v>1837</v>
      </c>
      <c r="E578" s="39" t="s">
        <v>204</v>
      </c>
      <c r="F578" s="39" t="s">
        <v>35</v>
      </c>
      <c r="G578" s="39" t="s">
        <v>82</v>
      </c>
      <c r="I578" s="39" t="s">
        <v>1838</v>
      </c>
      <c r="J578" s="39" t="s">
        <v>35</v>
      </c>
      <c r="K578" t="s">
        <v>1839</v>
      </c>
      <c r="L578" t="s">
        <v>1840</v>
      </c>
      <c r="M578" s="6" t="s">
        <v>3493</v>
      </c>
      <c r="N578" t="s">
        <v>86</v>
      </c>
      <c r="O578" t="s">
        <v>49</v>
      </c>
      <c r="P578" s="35" t="s">
        <v>50</v>
      </c>
      <c r="Q578" t="s">
        <v>76</v>
      </c>
      <c r="R578" t="s">
        <v>1840</v>
      </c>
      <c r="S578" s="6" t="s">
        <v>5529</v>
      </c>
      <c r="T578" s="43" t="s">
        <v>255</v>
      </c>
      <c r="U578" s="43" t="s">
        <v>66</v>
      </c>
      <c r="V578" t="s">
        <v>49</v>
      </c>
      <c r="W578" s="57"/>
      <c r="X578" s="57"/>
      <c r="Y578" t="s">
        <v>50</v>
      </c>
      <c r="Z578" s="39"/>
      <c r="AA578" s="39"/>
      <c r="AB578" t="s">
        <v>76</v>
      </c>
      <c r="AC578" s="42">
        <v>38159</v>
      </c>
      <c r="AD578" s="42">
        <v>39882</v>
      </c>
      <c r="AE578" s="53" t="s">
        <v>290</v>
      </c>
      <c r="AF578" s="54" t="s">
        <v>69</v>
      </c>
      <c r="AG578" s="54"/>
      <c r="AH578" s="39" t="s">
        <v>70</v>
      </c>
      <c r="AI578" s="39" t="s">
        <v>70</v>
      </c>
    </row>
    <row r="579" spans="1:35" ht="17" x14ac:dyDescent="0.2">
      <c r="A579">
        <v>34</v>
      </c>
      <c r="B579">
        <v>290</v>
      </c>
      <c r="C579" t="s">
        <v>5570</v>
      </c>
      <c r="D579" s="39" t="s">
        <v>1841</v>
      </c>
      <c r="E579" s="39" t="s">
        <v>204</v>
      </c>
      <c r="F579" s="39" t="s">
        <v>35</v>
      </c>
      <c r="G579" s="39" t="s">
        <v>194</v>
      </c>
      <c r="I579" s="39" t="s">
        <v>35</v>
      </c>
      <c r="J579" s="39" t="s">
        <v>35</v>
      </c>
      <c r="L579" t="s">
        <v>35</v>
      </c>
      <c r="M579" s="6" t="s">
        <v>6016</v>
      </c>
      <c r="P579" s="35"/>
      <c r="Q579" t="s">
        <v>35</v>
      </c>
      <c r="S579" s="6" t="s">
        <v>3649</v>
      </c>
      <c r="T579" s="43" t="s">
        <v>35</v>
      </c>
      <c r="U579" s="43" t="s">
        <v>35</v>
      </c>
      <c r="W579" s="57"/>
      <c r="X579" s="57"/>
      <c r="Z579" s="39"/>
      <c r="AA579" s="39"/>
      <c r="AB579" t="s">
        <v>35</v>
      </c>
      <c r="AC579" s="42">
        <v>33240</v>
      </c>
      <c r="AD579" s="42">
        <v>34233</v>
      </c>
      <c r="AE579" s="53" t="s">
        <v>453</v>
      </c>
      <c r="AF579" s="54" t="s">
        <v>35</v>
      </c>
      <c r="AG579" s="54"/>
      <c r="AH579" s="39" t="s">
        <v>70</v>
      </c>
      <c r="AI579" s="39" t="s">
        <v>52</v>
      </c>
    </row>
    <row r="580" spans="1:35" ht="17" x14ac:dyDescent="0.2">
      <c r="A580">
        <v>156</v>
      </c>
      <c r="B580">
        <v>365</v>
      </c>
      <c r="C580" t="s">
        <v>5571</v>
      </c>
      <c r="D580" s="39" t="s">
        <v>2228</v>
      </c>
      <c r="E580" s="39" t="s">
        <v>204</v>
      </c>
      <c r="F580" s="39" t="s">
        <v>35</v>
      </c>
      <c r="G580" s="39" t="s">
        <v>205</v>
      </c>
      <c r="I580" s="39" t="s">
        <v>2229</v>
      </c>
      <c r="J580" s="39" t="s">
        <v>35</v>
      </c>
      <c r="K580" t="s">
        <v>2230</v>
      </c>
      <c r="L580" t="s">
        <v>2231</v>
      </c>
      <c r="M580" s="6" t="s">
        <v>35</v>
      </c>
      <c r="N580" t="s">
        <v>59</v>
      </c>
      <c r="O580" t="s">
        <v>2232</v>
      </c>
      <c r="P580" s="35" t="s">
        <v>50</v>
      </c>
      <c r="Q580" t="s">
        <v>558</v>
      </c>
      <c r="R580" t="s">
        <v>171</v>
      </c>
      <c r="S580" s="6" t="s">
        <v>35</v>
      </c>
      <c r="T580" s="43" t="s">
        <v>2233</v>
      </c>
      <c r="U580" s="43" t="s">
        <v>2234</v>
      </c>
      <c r="V580" t="s">
        <v>49</v>
      </c>
      <c r="W580" s="57"/>
      <c r="X580" s="57"/>
      <c r="Y580" t="s">
        <v>50</v>
      </c>
      <c r="Z580" s="39"/>
      <c r="AA580" s="39"/>
      <c r="AB580" t="s">
        <v>62</v>
      </c>
      <c r="AC580" s="42">
        <v>36550</v>
      </c>
      <c r="AD580" s="42">
        <v>37313</v>
      </c>
      <c r="AE580" s="53" t="s">
        <v>51</v>
      </c>
      <c r="AF580" s="54" t="s">
        <v>35</v>
      </c>
      <c r="AG580" s="54"/>
      <c r="AH580" s="39" t="s">
        <v>52</v>
      </c>
      <c r="AI580" s="39" t="s">
        <v>52</v>
      </c>
    </row>
    <row r="581" spans="1:35" ht="17" x14ac:dyDescent="0.2">
      <c r="A581">
        <v>478</v>
      </c>
      <c r="B581">
        <v>538</v>
      </c>
      <c r="C581" t="s">
        <v>5575</v>
      </c>
      <c r="D581" s="39" t="s">
        <v>3050</v>
      </c>
      <c r="E581" s="39" t="s">
        <v>204</v>
      </c>
      <c r="F581" s="39" t="s">
        <v>35</v>
      </c>
      <c r="G581" s="39" t="s">
        <v>36</v>
      </c>
      <c r="H581" s="34"/>
      <c r="I581" s="39" t="s">
        <v>3051</v>
      </c>
      <c r="J581" s="39" t="s">
        <v>35</v>
      </c>
      <c r="K581" t="s">
        <v>3052</v>
      </c>
      <c r="L581" t="s">
        <v>236</v>
      </c>
      <c r="M581" s="6" t="s">
        <v>5540</v>
      </c>
      <c r="N581" t="s">
        <v>97</v>
      </c>
      <c r="O581" t="s">
        <v>49</v>
      </c>
      <c r="P581" s="35" t="s">
        <v>50</v>
      </c>
      <c r="Q581" t="s">
        <v>44</v>
      </c>
      <c r="R581" t="s">
        <v>3053</v>
      </c>
      <c r="S581" s="6" t="s">
        <v>5541</v>
      </c>
      <c r="T581" s="43" t="s">
        <v>1139</v>
      </c>
      <c r="U581" s="43" t="s">
        <v>1852</v>
      </c>
      <c r="V581" t="s">
        <v>49</v>
      </c>
      <c r="W581" s="57"/>
      <c r="X581" s="57"/>
      <c r="Y581" t="s">
        <v>50</v>
      </c>
      <c r="Z581" s="39"/>
      <c r="AA581" s="39"/>
      <c r="AB581" t="s">
        <v>62</v>
      </c>
      <c r="AC581" s="42">
        <v>43480</v>
      </c>
      <c r="AD581" s="42">
        <v>44627</v>
      </c>
      <c r="AE581" s="53" t="s">
        <v>51</v>
      </c>
      <c r="AF581" s="54" t="s">
        <v>35</v>
      </c>
      <c r="AG581" s="54"/>
      <c r="AH581" s="39" t="s">
        <v>52</v>
      </c>
      <c r="AI581" s="39" t="s">
        <v>52</v>
      </c>
    </row>
    <row r="582" spans="1:35" ht="17" x14ac:dyDescent="0.2">
      <c r="A582">
        <v>102</v>
      </c>
      <c r="B582">
        <v>570</v>
      </c>
      <c r="C582" t="s">
        <v>5578</v>
      </c>
      <c r="D582" s="39" t="s">
        <v>3206</v>
      </c>
      <c r="E582" s="39" t="s">
        <v>204</v>
      </c>
      <c r="F582" s="39" t="s">
        <v>35</v>
      </c>
      <c r="G582" s="39" t="s">
        <v>194</v>
      </c>
      <c r="I582" s="39" t="s">
        <v>3207</v>
      </c>
      <c r="J582" s="39" t="s">
        <v>35</v>
      </c>
      <c r="K582" t="s">
        <v>3208</v>
      </c>
      <c r="L582" t="s">
        <v>802</v>
      </c>
      <c r="M582" s="6" t="s">
        <v>35</v>
      </c>
      <c r="N582" s="36" t="s">
        <v>86</v>
      </c>
      <c r="O582" t="s">
        <v>49</v>
      </c>
      <c r="P582" s="35" t="s">
        <v>50</v>
      </c>
      <c r="Q582" t="s">
        <v>62</v>
      </c>
      <c r="R582" t="s">
        <v>3209</v>
      </c>
      <c r="S582" s="6" t="s">
        <v>35</v>
      </c>
      <c r="T582" s="43" t="s">
        <v>859</v>
      </c>
      <c r="U582" s="43" t="s">
        <v>918</v>
      </c>
      <c r="W582" s="57"/>
      <c r="X582" s="57"/>
      <c r="Z582" s="39"/>
      <c r="AA582" s="39"/>
      <c r="AB582" t="s">
        <v>180</v>
      </c>
      <c r="AC582" s="42">
        <v>34974</v>
      </c>
      <c r="AD582" s="42">
        <v>35564</v>
      </c>
      <c r="AE582" s="53" t="s">
        <v>239</v>
      </c>
      <c r="AF582" s="54" t="s">
        <v>3210</v>
      </c>
      <c r="AG582" s="54"/>
      <c r="AH582" s="39" t="s">
        <v>70</v>
      </c>
      <c r="AI582" s="39" t="s">
        <v>52</v>
      </c>
    </row>
    <row r="583" spans="1:35" ht="17" x14ac:dyDescent="0.2">
      <c r="A583">
        <v>57</v>
      </c>
      <c r="B583">
        <v>612</v>
      </c>
      <c r="C583" t="s">
        <v>5581</v>
      </c>
      <c r="D583" s="39" t="s">
        <v>3406</v>
      </c>
      <c r="E583" s="39" t="s">
        <v>204</v>
      </c>
      <c r="F583" s="39" t="s">
        <v>35</v>
      </c>
      <c r="G583" s="39" t="s">
        <v>194</v>
      </c>
      <c r="H583" s="34"/>
      <c r="I583" s="39" t="s">
        <v>3407</v>
      </c>
      <c r="J583" s="39" t="s">
        <v>35</v>
      </c>
      <c r="K583" t="s">
        <v>3408</v>
      </c>
      <c r="L583" t="s">
        <v>3409</v>
      </c>
      <c r="M583" s="6" t="s">
        <v>3589</v>
      </c>
      <c r="N583" t="s">
        <v>86</v>
      </c>
      <c r="O583" t="s">
        <v>42</v>
      </c>
      <c r="Q583" t="s">
        <v>44</v>
      </c>
      <c r="R583" t="s">
        <v>3410</v>
      </c>
      <c r="S583" s="6" t="s">
        <v>5549</v>
      </c>
      <c r="T583" s="43" t="s">
        <v>534</v>
      </c>
      <c r="U583" s="43" t="s">
        <v>1204</v>
      </c>
      <c r="V583" t="s">
        <v>42</v>
      </c>
      <c r="W583" s="57"/>
      <c r="X583" s="57"/>
      <c r="Y583" t="s">
        <v>43</v>
      </c>
      <c r="Z583" s="39"/>
      <c r="AA583" s="39"/>
      <c r="AB583" t="s">
        <v>44</v>
      </c>
      <c r="AC583" s="42">
        <v>33240</v>
      </c>
      <c r="AD583" s="42">
        <v>33602</v>
      </c>
      <c r="AE583" s="53" t="s">
        <v>51</v>
      </c>
      <c r="AF583" s="54" t="s">
        <v>35</v>
      </c>
      <c r="AG583" s="54"/>
      <c r="AH583" s="39" t="s">
        <v>52</v>
      </c>
      <c r="AI583" s="39" t="s">
        <v>52</v>
      </c>
    </row>
    <row r="584" spans="1:35" ht="17" x14ac:dyDescent="0.2">
      <c r="B584">
        <v>50</v>
      </c>
      <c r="C584" t="s">
        <v>5763</v>
      </c>
      <c r="D584" s="39" t="s">
        <v>454</v>
      </c>
      <c r="E584" s="39" t="s">
        <v>455</v>
      </c>
      <c r="F584" s="39" t="s">
        <v>35</v>
      </c>
      <c r="G584" s="39" t="s">
        <v>259</v>
      </c>
      <c r="I584" s="39" t="s">
        <v>456</v>
      </c>
      <c r="J584" s="39" t="s">
        <v>35</v>
      </c>
      <c r="K584" t="s">
        <v>457</v>
      </c>
      <c r="L584" t="s">
        <v>355</v>
      </c>
      <c r="M584" s="6" t="s">
        <v>6102</v>
      </c>
      <c r="N584" t="s">
        <v>131</v>
      </c>
      <c r="O584" t="s">
        <v>42</v>
      </c>
      <c r="P584" s="35" t="s">
        <v>43</v>
      </c>
      <c r="Q584" t="s">
        <v>44</v>
      </c>
      <c r="R584" t="s">
        <v>458</v>
      </c>
      <c r="S584" s="6" t="s">
        <v>3600</v>
      </c>
      <c r="T584" s="43" t="s">
        <v>459</v>
      </c>
      <c r="U584" s="43" t="s">
        <v>459</v>
      </c>
      <c r="V584" t="s">
        <v>42</v>
      </c>
      <c r="W584" s="57"/>
      <c r="X584" s="57"/>
      <c r="Y584" t="s">
        <v>43</v>
      </c>
      <c r="Z584" s="39"/>
      <c r="AA584" s="39"/>
      <c r="AB584" t="s">
        <v>44</v>
      </c>
      <c r="AC584" s="42">
        <v>44929</v>
      </c>
      <c r="AD584" s="42">
        <v>45297</v>
      </c>
      <c r="AE584" s="53" t="s">
        <v>51</v>
      </c>
      <c r="AF584" s="54" t="s">
        <v>35</v>
      </c>
      <c r="AG584" s="54"/>
      <c r="AH584" s="39" t="s">
        <v>52</v>
      </c>
      <c r="AI584" s="39" t="s">
        <v>52</v>
      </c>
    </row>
    <row r="585" spans="1:35" ht="17" x14ac:dyDescent="0.2">
      <c r="A585">
        <v>233</v>
      </c>
      <c r="B585">
        <v>192</v>
      </c>
      <c r="C585" t="s">
        <v>5584</v>
      </c>
      <c r="D585" s="39" t="s">
        <v>1333</v>
      </c>
      <c r="E585" s="39" t="s">
        <v>455</v>
      </c>
      <c r="F585" s="39" t="s">
        <v>35</v>
      </c>
      <c r="G585" s="39" t="s">
        <v>82</v>
      </c>
      <c r="I585" s="39" t="s">
        <v>1334</v>
      </c>
      <c r="J585" s="39" t="s">
        <v>35</v>
      </c>
      <c r="K585" t="s">
        <v>1335</v>
      </c>
      <c r="L585" t="s">
        <v>1336</v>
      </c>
      <c r="M585" s="6" t="s">
        <v>6103</v>
      </c>
      <c r="N585" t="s">
        <v>86</v>
      </c>
      <c r="O585" t="s">
        <v>49</v>
      </c>
      <c r="P585" s="35"/>
      <c r="Q585" t="s">
        <v>44</v>
      </c>
      <c r="R585" t="s">
        <v>75</v>
      </c>
      <c r="S585" s="6" t="s">
        <v>3493</v>
      </c>
      <c r="T585" s="43" t="s">
        <v>1060</v>
      </c>
      <c r="U585" s="43" t="s">
        <v>134</v>
      </c>
      <c r="V585" t="s">
        <v>49</v>
      </c>
      <c r="W585" s="57"/>
      <c r="X585" s="57"/>
      <c r="Y585" t="s">
        <v>50</v>
      </c>
      <c r="Z585" s="39"/>
      <c r="AA585" s="39"/>
      <c r="AB585" t="s">
        <v>76</v>
      </c>
      <c r="AC585" s="42">
        <v>37797</v>
      </c>
      <c r="AD585" s="42">
        <v>38860</v>
      </c>
      <c r="AE585" s="53" t="s">
        <v>68</v>
      </c>
      <c r="AF585" s="54" t="s">
        <v>35</v>
      </c>
      <c r="AG585" s="54"/>
      <c r="AH585" s="39" t="s">
        <v>70</v>
      </c>
      <c r="AI585" s="39" t="s">
        <v>52</v>
      </c>
    </row>
    <row r="586" spans="1:35" ht="17" x14ac:dyDescent="0.2">
      <c r="A586">
        <v>350</v>
      </c>
      <c r="B586">
        <v>362</v>
      </c>
      <c r="C586" t="s">
        <v>5589</v>
      </c>
      <c r="D586" s="39" t="s">
        <v>2211</v>
      </c>
      <c r="E586" s="39" t="s">
        <v>455</v>
      </c>
      <c r="F586" s="39" t="s">
        <v>35</v>
      </c>
      <c r="G586" s="39" t="s">
        <v>160</v>
      </c>
      <c r="I586" s="39" t="s">
        <v>2212</v>
      </c>
      <c r="J586" s="39" t="s">
        <v>35</v>
      </c>
      <c r="K586" t="s">
        <v>2213</v>
      </c>
      <c r="L586" t="s">
        <v>2214</v>
      </c>
      <c r="M586" s="6" t="s">
        <v>3471</v>
      </c>
      <c r="N586" t="s">
        <v>86</v>
      </c>
      <c r="O586" t="s">
        <v>49</v>
      </c>
      <c r="P586" s="35" t="s">
        <v>50</v>
      </c>
      <c r="Q586" t="s">
        <v>35</v>
      </c>
      <c r="R586" t="s">
        <v>75</v>
      </c>
      <c r="S586" s="6" t="s">
        <v>3971</v>
      </c>
      <c r="T586" s="43" t="s">
        <v>1226</v>
      </c>
      <c r="U586" s="43" t="s">
        <v>2215</v>
      </c>
      <c r="V586" t="s">
        <v>49</v>
      </c>
      <c r="W586" s="57"/>
      <c r="X586" s="57"/>
      <c r="Y586" t="s">
        <v>50</v>
      </c>
      <c r="Z586" s="39"/>
      <c r="AA586" s="39"/>
      <c r="AB586" t="s">
        <v>76</v>
      </c>
      <c r="AC586" s="42">
        <v>40567</v>
      </c>
      <c r="AD586" s="42">
        <v>41079</v>
      </c>
      <c r="AE586" s="53" t="s">
        <v>51</v>
      </c>
      <c r="AF586" s="54" t="s">
        <v>35</v>
      </c>
      <c r="AG586" s="54"/>
      <c r="AH586" s="39" t="s">
        <v>52</v>
      </c>
      <c r="AI586" s="39" t="s">
        <v>52</v>
      </c>
    </row>
    <row r="587" spans="1:35" ht="17" x14ac:dyDescent="0.2">
      <c r="A587">
        <v>136</v>
      </c>
      <c r="B587">
        <v>565</v>
      </c>
      <c r="C587" t="s">
        <v>5592</v>
      </c>
      <c r="D587" s="39" t="s">
        <v>3186</v>
      </c>
      <c r="E587" s="39" t="s">
        <v>455</v>
      </c>
      <c r="F587" s="39" t="s">
        <v>35</v>
      </c>
      <c r="G587" s="39" t="s">
        <v>205</v>
      </c>
      <c r="I587" s="39" t="s">
        <v>3187</v>
      </c>
      <c r="J587" s="39" t="s">
        <v>35</v>
      </c>
      <c r="K587" t="s">
        <v>3188</v>
      </c>
      <c r="L587" t="s">
        <v>3189</v>
      </c>
      <c r="M587" s="6" t="s">
        <v>3655</v>
      </c>
      <c r="N587" s="36" t="s">
        <v>86</v>
      </c>
      <c r="O587" t="s">
        <v>49</v>
      </c>
      <c r="P587" s="35" t="s">
        <v>50</v>
      </c>
      <c r="Q587" t="s">
        <v>44</v>
      </c>
      <c r="R587" t="s">
        <v>551</v>
      </c>
      <c r="S587" s="6" t="s">
        <v>153</v>
      </c>
      <c r="T587" s="43" t="s">
        <v>3190</v>
      </c>
      <c r="U587" s="43" t="s">
        <v>324</v>
      </c>
      <c r="V587" t="s">
        <v>49</v>
      </c>
      <c r="W587" s="57"/>
      <c r="X587" s="57"/>
      <c r="Y587" t="s">
        <v>50</v>
      </c>
      <c r="Z587" s="39"/>
      <c r="AA587" s="39"/>
      <c r="AB587" t="s">
        <v>44</v>
      </c>
      <c r="AC587" s="42">
        <v>36280</v>
      </c>
      <c r="AD587" s="42">
        <v>37298</v>
      </c>
      <c r="AE587" s="53" t="s">
        <v>239</v>
      </c>
      <c r="AF587" s="54" t="s">
        <v>35</v>
      </c>
      <c r="AG587" s="54"/>
      <c r="AH587" s="39" t="s">
        <v>70</v>
      </c>
      <c r="AI587" s="39" t="s">
        <v>52</v>
      </c>
    </row>
    <row r="588" spans="1:35" ht="17" x14ac:dyDescent="0.2">
      <c r="A588">
        <v>380</v>
      </c>
      <c r="B588">
        <v>26</v>
      </c>
      <c r="C588" t="s">
        <v>5595</v>
      </c>
      <c r="D588" s="39" t="s">
        <v>272</v>
      </c>
      <c r="E588" s="39" t="s">
        <v>283</v>
      </c>
      <c r="F588" s="39" t="s">
        <v>35</v>
      </c>
      <c r="G588" s="39" t="s">
        <v>160</v>
      </c>
      <c r="H588" s="34"/>
      <c r="I588" s="39" t="s">
        <v>284</v>
      </c>
      <c r="J588" s="39" t="s">
        <v>285</v>
      </c>
      <c r="K588" t="s">
        <v>286</v>
      </c>
      <c r="L588" t="s">
        <v>287</v>
      </c>
      <c r="M588" s="6" t="s">
        <v>6104</v>
      </c>
      <c r="N588" t="s">
        <v>59</v>
      </c>
      <c r="O588" t="s">
        <v>49</v>
      </c>
      <c r="P588" s="35"/>
      <c r="Q588" t="s">
        <v>44</v>
      </c>
      <c r="R588" t="s">
        <v>58</v>
      </c>
      <c r="S588" s="6" t="s">
        <v>2355</v>
      </c>
      <c r="T588" s="43" t="s">
        <v>288</v>
      </c>
      <c r="U588" s="43" t="s">
        <v>289</v>
      </c>
      <c r="V588" t="s">
        <v>42</v>
      </c>
      <c r="W588" s="57"/>
      <c r="X588" s="57"/>
      <c r="Y588" t="s">
        <v>43</v>
      </c>
      <c r="Z588" s="39"/>
      <c r="AA588" s="39"/>
      <c r="AB588" t="s">
        <v>62</v>
      </c>
      <c r="AC588" s="42">
        <v>41799</v>
      </c>
      <c r="AD588" s="42">
        <v>42699</v>
      </c>
      <c r="AE588" s="53" t="s">
        <v>290</v>
      </c>
      <c r="AF588" s="54" t="s">
        <v>35</v>
      </c>
      <c r="AG588" s="54"/>
      <c r="AH588" s="39" t="s">
        <v>70</v>
      </c>
      <c r="AI588" s="39" t="s">
        <v>52</v>
      </c>
    </row>
    <row r="589" spans="1:35" ht="17" x14ac:dyDescent="0.2">
      <c r="A589">
        <v>504</v>
      </c>
      <c r="B589">
        <v>166</v>
      </c>
      <c r="C589" t="s">
        <v>5600</v>
      </c>
      <c r="D589" s="39" t="s">
        <v>1188</v>
      </c>
      <c r="E589" s="39" t="s">
        <v>1189</v>
      </c>
      <c r="F589" s="39" t="s">
        <v>35</v>
      </c>
      <c r="G589" s="39" t="s">
        <v>36</v>
      </c>
      <c r="I589" s="39" t="s">
        <v>1190</v>
      </c>
      <c r="J589" s="39" t="s">
        <v>35</v>
      </c>
      <c r="K589" t="s">
        <v>1191</v>
      </c>
      <c r="L589" s="49" t="s">
        <v>58</v>
      </c>
      <c r="M589" s="6" t="s">
        <v>6105</v>
      </c>
      <c r="N589" t="s">
        <v>97</v>
      </c>
      <c r="O589" t="s">
        <v>49</v>
      </c>
      <c r="P589" s="35" t="s">
        <v>50</v>
      </c>
      <c r="Q589" t="s">
        <v>62</v>
      </c>
      <c r="R589" t="s">
        <v>58</v>
      </c>
      <c r="S589" s="6" t="s">
        <v>6280</v>
      </c>
      <c r="T589" s="43" t="s">
        <v>154</v>
      </c>
      <c r="U589" s="43" t="s">
        <v>418</v>
      </c>
      <c r="W589" s="57"/>
      <c r="X589" s="57"/>
      <c r="Z589" s="39"/>
      <c r="AA589" s="39"/>
      <c r="AB589" t="s">
        <v>35</v>
      </c>
      <c r="AC589" s="42">
        <v>2019</v>
      </c>
      <c r="AD589" s="42">
        <v>44440</v>
      </c>
      <c r="AE589" s="53" t="s">
        <v>51</v>
      </c>
      <c r="AF589" s="54" t="s">
        <v>35</v>
      </c>
      <c r="AG589" s="54"/>
      <c r="AH589" s="39" t="s">
        <v>52</v>
      </c>
      <c r="AI589" s="39" t="s">
        <v>52</v>
      </c>
    </row>
    <row r="590" spans="1:35" ht="17" x14ac:dyDescent="0.2">
      <c r="A590">
        <v>123</v>
      </c>
      <c r="B590">
        <v>141</v>
      </c>
      <c r="C590" t="s">
        <v>4038</v>
      </c>
      <c r="D590" s="39" t="s">
        <v>1054</v>
      </c>
      <c r="E590" s="39" t="s">
        <v>1055</v>
      </c>
      <c r="F590" s="39" t="s">
        <v>35</v>
      </c>
      <c r="G590" s="39" t="s">
        <v>205</v>
      </c>
      <c r="I590" s="39" t="s">
        <v>1056</v>
      </c>
      <c r="J590" s="39" t="s">
        <v>35</v>
      </c>
      <c r="K590" t="s">
        <v>1057</v>
      </c>
      <c r="L590" s="49" t="s">
        <v>1058</v>
      </c>
      <c r="M590" s="6" t="s">
        <v>6106</v>
      </c>
      <c r="N590" t="s">
        <v>59</v>
      </c>
      <c r="O590" t="s">
        <v>49</v>
      </c>
      <c r="P590" s="35" t="s">
        <v>50</v>
      </c>
      <c r="Q590" t="s">
        <v>76</v>
      </c>
      <c r="R590" t="s">
        <v>1059</v>
      </c>
      <c r="S590" s="6" t="s">
        <v>3523</v>
      </c>
      <c r="T590" s="43" t="s">
        <v>232</v>
      </c>
      <c r="U590" s="43" t="s">
        <v>1060</v>
      </c>
      <c r="V590" t="s">
        <v>49</v>
      </c>
      <c r="W590" s="57"/>
      <c r="X590" s="57"/>
      <c r="Y590" t="s">
        <v>50</v>
      </c>
      <c r="Z590" s="39"/>
      <c r="AA590" s="39"/>
      <c r="AB590" t="s">
        <v>76</v>
      </c>
      <c r="AC590" s="42">
        <v>35831</v>
      </c>
      <c r="AD590" s="42">
        <v>36121</v>
      </c>
      <c r="AE590" s="53" t="s">
        <v>51</v>
      </c>
      <c r="AF590" s="54" t="s">
        <v>35</v>
      </c>
      <c r="AG590" s="54"/>
      <c r="AH590" s="39" t="s">
        <v>52</v>
      </c>
      <c r="AI590" s="39" t="s">
        <v>52</v>
      </c>
    </row>
    <row r="591" spans="1:35" ht="17" x14ac:dyDescent="0.2">
      <c r="A591">
        <v>280</v>
      </c>
      <c r="B591">
        <v>190</v>
      </c>
      <c r="C591" t="s">
        <v>5604</v>
      </c>
      <c r="D591" s="39" t="s">
        <v>1324</v>
      </c>
      <c r="E591" s="39" t="s">
        <v>1055</v>
      </c>
      <c r="F591" s="39" t="s">
        <v>35</v>
      </c>
      <c r="G591" s="39" t="s">
        <v>55</v>
      </c>
      <c r="I591" s="39" t="s">
        <v>1325</v>
      </c>
      <c r="J591" s="39" t="s">
        <v>35</v>
      </c>
      <c r="M591" s="6" t="s">
        <v>35</v>
      </c>
      <c r="P591" s="35"/>
      <c r="Q591" t="s">
        <v>35</v>
      </c>
      <c r="S591" s="6" t="s">
        <v>35</v>
      </c>
      <c r="T591" s="43" t="s">
        <v>35</v>
      </c>
      <c r="U591" s="43" t="s">
        <v>35</v>
      </c>
      <c r="W591" s="57"/>
      <c r="X591" s="57"/>
      <c r="Z591" s="39"/>
      <c r="AA591" s="39"/>
      <c r="AB591" t="s">
        <v>35</v>
      </c>
      <c r="AC591" s="42">
        <v>38860</v>
      </c>
      <c r="AD591" s="42">
        <v>39883</v>
      </c>
      <c r="AE591" s="53" t="s">
        <v>51</v>
      </c>
      <c r="AF591" s="54" t="s">
        <v>35</v>
      </c>
      <c r="AG591" s="54"/>
      <c r="AH591" s="39" t="s">
        <v>52</v>
      </c>
      <c r="AI591" s="39" t="s">
        <v>52</v>
      </c>
    </row>
    <row r="592" spans="1:35" ht="17" x14ac:dyDescent="0.2">
      <c r="A592">
        <v>104</v>
      </c>
      <c r="B592">
        <v>233</v>
      </c>
      <c r="C592" t="s">
        <v>5606</v>
      </c>
      <c r="D592" s="39" t="s">
        <v>1564</v>
      </c>
      <c r="E592" s="39" t="s">
        <v>1055</v>
      </c>
      <c r="F592" s="39" t="s">
        <v>35</v>
      </c>
      <c r="G592" s="39" t="s">
        <v>205</v>
      </c>
      <c r="I592" s="39" t="s">
        <v>1565</v>
      </c>
      <c r="J592" s="39" t="s">
        <v>35</v>
      </c>
      <c r="K592" t="s">
        <v>1566</v>
      </c>
      <c r="L592" t="s">
        <v>1567</v>
      </c>
      <c r="M592" s="6" t="s">
        <v>5573</v>
      </c>
      <c r="N592" t="s">
        <v>86</v>
      </c>
      <c r="P592" s="35"/>
      <c r="Q592" t="s">
        <v>44</v>
      </c>
      <c r="R592" t="s">
        <v>1568</v>
      </c>
      <c r="S592" s="6" t="s">
        <v>3839</v>
      </c>
      <c r="T592" s="43" t="s">
        <v>164</v>
      </c>
      <c r="U592" s="43" t="s">
        <v>1350</v>
      </c>
      <c r="V592" t="s">
        <v>401</v>
      </c>
      <c r="W592" s="57"/>
      <c r="X592" s="57"/>
      <c r="Y592" t="s">
        <v>50</v>
      </c>
      <c r="Z592" s="39"/>
      <c r="AA592" s="39"/>
      <c r="AB592" t="s">
        <v>115</v>
      </c>
      <c r="AC592" s="42">
        <v>35104</v>
      </c>
      <c r="AD592" s="42">
        <v>35323</v>
      </c>
      <c r="AE592" s="53" t="s">
        <v>51</v>
      </c>
      <c r="AF592" s="54" t="s">
        <v>35</v>
      </c>
      <c r="AG592" s="54"/>
      <c r="AH592" s="39" t="s">
        <v>52</v>
      </c>
      <c r="AI592" s="39" t="s">
        <v>52</v>
      </c>
    </row>
    <row r="593" spans="1:75" ht="17" x14ac:dyDescent="0.2">
      <c r="A593">
        <v>538</v>
      </c>
      <c r="B593">
        <v>468</v>
      </c>
      <c r="C593" t="s">
        <v>5608</v>
      </c>
      <c r="D593" s="39" t="s">
        <v>2710</v>
      </c>
      <c r="E593" s="39" t="s">
        <v>1055</v>
      </c>
      <c r="F593" s="39" t="s">
        <v>35</v>
      </c>
      <c r="G593" s="39" t="s">
        <v>36</v>
      </c>
      <c r="H593" s="34"/>
      <c r="I593" s="39" t="s">
        <v>2711</v>
      </c>
      <c r="J593" s="39" t="s">
        <v>2712</v>
      </c>
      <c r="K593" t="s">
        <v>2713</v>
      </c>
      <c r="L593" t="s">
        <v>1044</v>
      </c>
      <c r="M593" s="6" t="s">
        <v>3476</v>
      </c>
      <c r="N593" t="s">
        <v>59</v>
      </c>
      <c r="O593" t="s">
        <v>60</v>
      </c>
      <c r="P593" s="35" t="s">
        <v>61</v>
      </c>
      <c r="Q593" t="s">
        <v>62</v>
      </c>
      <c r="R593" t="s">
        <v>2080</v>
      </c>
      <c r="S593" s="6" t="s">
        <v>3556</v>
      </c>
      <c r="T593" s="43" t="s">
        <v>1350</v>
      </c>
      <c r="U593" s="43" t="s">
        <v>410</v>
      </c>
      <c r="V593" t="s">
        <v>49</v>
      </c>
      <c r="W593" s="57"/>
      <c r="X593" s="57"/>
      <c r="Y593" t="s">
        <v>50</v>
      </c>
      <c r="Z593" s="39"/>
      <c r="AA593" s="39"/>
      <c r="AB593" t="s">
        <v>62</v>
      </c>
      <c r="AC593" s="42">
        <v>43983</v>
      </c>
      <c r="AD593" s="42">
        <v>44652</v>
      </c>
      <c r="AE593" s="53" t="s">
        <v>69</v>
      </c>
      <c r="AF593" s="54" t="s">
        <v>35</v>
      </c>
      <c r="AG593" s="54"/>
      <c r="AH593" s="39" t="s">
        <v>52</v>
      </c>
      <c r="AI593" s="39" t="s">
        <v>70</v>
      </c>
    </row>
    <row r="594" spans="1:75" ht="17" x14ac:dyDescent="0.2">
      <c r="A594">
        <v>453</v>
      </c>
      <c r="B594">
        <v>208</v>
      </c>
      <c r="C594" t="s">
        <v>5613</v>
      </c>
      <c r="D594" s="39" t="s">
        <v>1413</v>
      </c>
      <c r="E594" s="39" t="s">
        <v>1414</v>
      </c>
      <c r="F594" s="39" t="s">
        <v>35</v>
      </c>
      <c r="G594" s="39" t="s">
        <v>36</v>
      </c>
      <c r="I594" s="39" t="s">
        <v>1415</v>
      </c>
      <c r="J594" s="39" t="s">
        <v>35</v>
      </c>
      <c r="K594" t="s">
        <v>1416</v>
      </c>
      <c r="L594" t="s">
        <v>1417</v>
      </c>
      <c r="M594" s="6" t="s">
        <v>5069</v>
      </c>
      <c r="N594" t="s">
        <v>59</v>
      </c>
      <c r="O594" t="s">
        <v>49</v>
      </c>
      <c r="P594" s="35" t="s">
        <v>50</v>
      </c>
      <c r="Q594" t="s">
        <v>62</v>
      </c>
      <c r="R594" t="s">
        <v>1418</v>
      </c>
      <c r="S594" s="6" t="s">
        <v>5580</v>
      </c>
      <c r="T594" s="43" t="s">
        <v>47</v>
      </c>
      <c r="U594" s="43" t="s">
        <v>246</v>
      </c>
      <c r="V594" t="s">
        <v>49</v>
      </c>
      <c r="W594" s="57"/>
      <c r="X594" s="57"/>
      <c r="Y594" t="s">
        <v>50</v>
      </c>
      <c r="Z594" s="39"/>
      <c r="AA594" s="39"/>
      <c r="AB594" t="s">
        <v>62</v>
      </c>
      <c r="AC594" s="42">
        <v>42750</v>
      </c>
      <c r="AD594" s="42">
        <v>43871</v>
      </c>
      <c r="AE594" s="53" t="s">
        <v>290</v>
      </c>
      <c r="AF594" s="54" t="s">
        <v>425</v>
      </c>
      <c r="AG594" s="54"/>
      <c r="AH594" s="39" t="s">
        <v>70</v>
      </c>
      <c r="AI594" s="39" t="s">
        <v>70</v>
      </c>
    </row>
    <row r="595" spans="1:75" ht="34" x14ac:dyDescent="0.2">
      <c r="A595">
        <v>194</v>
      </c>
      <c r="B595">
        <v>577</v>
      </c>
      <c r="C595" t="s">
        <v>5615</v>
      </c>
      <c r="D595" s="39" t="s">
        <v>3236</v>
      </c>
      <c r="E595" s="39" t="s">
        <v>1414</v>
      </c>
      <c r="F595" s="39" t="s">
        <v>35</v>
      </c>
      <c r="G595" s="39" t="s">
        <v>205</v>
      </c>
      <c r="I595" s="39" t="s">
        <v>3237</v>
      </c>
      <c r="J595" s="39" t="s">
        <v>35</v>
      </c>
      <c r="K595" t="s">
        <v>3238</v>
      </c>
      <c r="L595" t="s">
        <v>3239</v>
      </c>
      <c r="M595" s="6" t="s">
        <v>5582</v>
      </c>
      <c r="N595" t="s">
        <v>59</v>
      </c>
      <c r="O595" t="s">
        <v>2686</v>
      </c>
      <c r="P595" s="35" t="s">
        <v>50</v>
      </c>
      <c r="Q595" t="s">
        <v>200</v>
      </c>
      <c r="R595" t="s">
        <v>3240</v>
      </c>
      <c r="S595" s="6" t="s">
        <v>5583</v>
      </c>
      <c r="T595" s="43" t="s">
        <v>1310</v>
      </c>
      <c r="U595" s="43" t="s">
        <v>307</v>
      </c>
      <c r="V595" t="s">
        <v>2038</v>
      </c>
      <c r="W595" s="57"/>
      <c r="X595" s="57"/>
      <c r="Y595" t="s">
        <v>50</v>
      </c>
      <c r="Z595" s="39"/>
      <c r="AA595" s="39"/>
      <c r="AB595" t="s">
        <v>44</v>
      </c>
      <c r="AC595" s="42">
        <v>37025</v>
      </c>
      <c r="AD595" s="42">
        <v>37649</v>
      </c>
      <c r="AE595" s="53" t="s">
        <v>51</v>
      </c>
      <c r="AF595" s="54" t="s">
        <v>35</v>
      </c>
      <c r="AG595" s="54"/>
      <c r="AH595" s="39" t="s">
        <v>52</v>
      </c>
      <c r="AI595" s="39" t="s">
        <v>52</v>
      </c>
    </row>
    <row r="596" spans="1:75" ht="17" x14ac:dyDescent="0.2">
      <c r="A596">
        <v>302</v>
      </c>
      <c r="B596">
        <v>407</v>
      </c>
      <c r="C596" t="s">
        <v>5625</v>
      </c>
      <c r="D596" s="39" t="s">
        <v>2437</v>
      </c>
      <c r="E596" s="39" t="s">
        <v>2438</v>
      </c>
      <c r="F596" s="39" t="s">
        <v>35</v>
      </c>
      <c r="G596" s="39" t="s">
        <v>55</v>
      </c>
      <c r="I596" s="39" t="s">
        <v>2439</v>
      </c>
      <c r="J596" s="39" t="s">
        <v>35</v>
      </c>
      <c r="K596" t="s">
        <v>2440</v>
      </c>
      <c r="L596" t="s">
        <v>2441</v>
      </c>
      <c r="M596" s="6" t="s">
        <v>4914</v>
      </c>
      <c r="N596" t="s">
        <v>59</v>
      </c>
      <c r="O596" t="s">
        <v>123</v>
      </c>
      <c r="P596" s="35" t="s">
        <v>99</v>
      </c>
      <c r="Q596" t="s">
        <v>62</v>
      </c>
      <c r="R596" t="s">
        <v>188</v>
      </c>
      <c r="S596" s="6" t="s">
        <v>6281</v>
      </c>
      <c r="T596" s="43" t="s">
        <v>2442</v>
      </c>
      <c r="U596" s="43" t="s">
        <v>2443</v>
      </c>
      <c r="V596" t="s">
        <v>42</v>
      </c>
      <c r="W596" s="57"/>
      <c r="X596" s="57"/>
      <c r="Y596" t="s">
        <v>43</v>
      </c>
      <c r="Z596" s="39"/>
      <c r="AA596" s="39"/>
      <c r="AB596" t="s">
        <v>44</v>
      </c>
      <c r="AC596" s="42">
        <v>39238</v>
      </c>
      <c r="AD596" s="42">
        <v>40190</v>
      </c>
      <c r="AE596" s="53" t="s">
        <v>68</v>
      </c>
      <c r="AF596" s="54" t="s">
        <v>35</v>
      </c>
      <c r="AG596" s="54"/>
      <c r="AH596" s="39" t="s">
        <v>70</v>
      </c>
      <c r="AI596" s="39" t="s">
        <v>52</v>
      </c>
    </row>
    <row r="597" spans="1:75" s="41" customFormat="1" ht="17" x14ac:dyDescent="0.2">
      <c r="A597">
        <v>330</v>
      </c>
      <c r="B597">
        <v>200</v>
      </c>
      <c r="C597" t="s">
        <v>5630</v>
      </c>
      <c r="D597" s="39" t="s">
        <v>1369</v>
      </c>
      <c r="E597" s="39" t="s">
        <v>1370</v>
      </c>
      <c r="F597" s="39" t="s">
        <v>35</v>
      </c>
      <c r="G597" s="39" t="s">
        <v>55</v>
      </c>
      <c r="H597" s="34"/>
      <c r="I597" s="39" t="s">
        <v>1371</v>
      </c>
      <c r="J597" s="39" t="s">
        <v>35</v>
      </c>
      <c r="K597" t="s">
        <v>1372</v>
      </c>
      <c r="L597" t="s">
        <v>1373</v>
      </c>
      <c r="M597" s="6" t="s">
        <v>6107</v>
      </c>
      <c r="N597" s="37" t="s">
        <v>59</v>
      </c>
      <c r="O597"/>
      <c r="P597" s="35"/>
      <c r="Q597" t="s">
        <v>479</v>
      </c>
      <c r="R597" t="s">
        <v>1374</v>
      </c>
      <c r="S597" s="6" t="s">
        <v>6282</v>
      </c>
      <c r="T597" s="43" t="s">
        <v>387</v>
      </c>
      <c r="U597" s="43" t="s">
        <v>936</v>
      </c>
      <c r="V597" t="s">
        <v>836</v>
      </c>
      <c r="W597" s="57"/>
      <c r="X597" s="57"/>
      <c r="Y597" t="s">
        <v>356</v>
      </c>
      <c r="Z597" s="39"/>
      <c r="AA597" s="39"/>
      <c r="AB597" t="s">
        <v>479</v>
      </c>
      <c r="AC597" s="42">
        <v>40239</v>
      </c>
      <c r="AD597" s="42">
        <v>40568</v>
      </c>
      <c r="AE597" s="53" t="s">
        <v>51</v>
      </c>
      <c r="AF597" s="54" t="s">
        <v>35</v>
      </c>
      <c r="AG597" s="54"/>
      <c r="AH597" s="39" t="s">
        <v>52</v>
      </c>
      <c r="AI597" s="39" t="s">
        <v>52</v>
      </c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  <c r="BV597"/>
      <c r="BW597"/>
    </row>
    <row r="598" spans="1:75" ht="34" x14ac:dyDescent="0.2">
      <c r="A598">
        <v>449</v>
      </c>
      <c r="B598">
        <v>551</v>
      </c>
      <c r="C598" t="s">
        <v>5636</v>
      </c>
      <c r="D598" s="39" t="s">
        <v>3114</v>
      </c>
      <c r="E598" s="39" t="s">
        <v>1370</v>
      </c>
      <c r="F598" s="39" t="s">
        <v>35</v>
      </c>
      <c r="G598" s="39" t="s">
        <v>36</v>
      </c>
      <c r="H598" s="34"/>
      <c r="I598" s="39" t="s">
        <v>3115</v>
      </c>
      <c r="J598" s="39" t="s">
        <v>35</v>
      </c>
      <c r="K598" t="s">
        <v>3116</v>
      </c>
      <c r="L598" t="s">
        <v>3117</v>
      </c>
      <c r="M598" s="6" t="s">
        <v>6108</v>
      </c>
      <c r="N598" t="s">
        <v>59</v>
      </c>
      <c r="O598" t="s">
        <v>49</v>
      </c>
      <c r="P598" s="35" t="s">
        <v>50</v>
      </c>
      <c r="Q598" t="s">
        <v>35</v>
      </c>
      <c r="R598" t="s">
        <v>163</v>
      </c>
      <c r="S598" s="6" t="s">
        <v>6283</v>
      </c>
      <c r="T598" s="43" t="s">
        <v>826</v>
      </c>
      <c r="U598" s="43" t="s">
        <v>878</v>
      </c>
      <c r="V598" t="s">
        <v>49</v>
      </c>
      <c r="W598" s="57"/>
      <c r="X598" s="57"/>
      <c r="Y598" t="s">
        <v>50</v>
      </c>
      <c r="Z598" s="39"/>
      <c r="AA598" s="39"/>
      <c r="AB598" t="s">
        <v>62</v>
      </c>
      <c r="AC598" s="42">
        <v>42886</v>
      </c>
      <c r="AD598" s="42">
        <v>43465</v>
      </c>
      <c r="AE598" s="53" t="s">
        <v>453</v>
      </c>
      <c r="AF598" s="54" t="s">
        <v>35</v>
      </c>
      <c r="AG598" s="54"/>
      <c r="AH598" s="39" t="s">
        <v>70</v>
      </c>
      <c r="AI598" s="39" t="s">
        <v>52</v>
      </c>
    </row>
    <row r="599" spans="1:75" s="41" customFormat="1" ht="17" x14ac:dyDescent="0.2">
      <c r="A599" t="s">
        <v>35</v>
      </c>
      <c r="B599">
        <v>184</v>
      </c>
      <c r="C599" t="s">
        <v>5785</v>
      </c>
      <c r="D599" s="39" t="s">
        <v>1283</v>
      </c>
      <c r="E599" s="39" t="s">
        <v>1288</v>
      </c>
      <c r="F599" s="39" t="s">
        <v>1289</v>
      </c>
      <c r="G599" s="39" t="s">
        <v>194</v>
      </c>
      <c r="H599" s="34"/>
      <c r="I599" s="39" t="s">
        <v>35</v>
      </c>
      <c r="J599" s="39" t="s">
        <v>35</v>
      </c>
      <c r="K599" t="s">
        <v>1290</v>
      </c>
      <c r="L599" s="49" t="s">
        <v>1291</v>
      </c>
      <c r="M599" s="6" t="s">
        <v>5593</v>
      </c>
      <c r="N599" t="s">
        <v>59</v>
      </c>
      <c r="O599" t="s">
        <v>1292</v>
      </c>
      <c r="P599" s="35" t="s">
        <v>99</v>
      </c>
      <c r="Q599" t="s">
        <v>35</v>
      </c>
      <c r="R599"/>
      <c r="S599" s="6" t="s">
        <v>157</v>
      </c>
      <c r="T599" s="43" t="s">
        <v>35</v>
      </c>
      <c r="U599" s="43" t="s">
        <v>35</v>
      </c>
      <c r="V599"/>
      <c r="W599" s="57"/>
      <c r="X599" s="57"/>
      <c r="Y599"/>
      <c r="Z599" s="39"/>
      <c r="AA599" s="39"/>
      <c r="AB599" t="s">
        <v>35</v>
      </c>
      <c r="AC599" s="42">
        <v>33865</v>
      </c>
      <c r="AD599" s="42">
        <v>34233</v>
      </c>
      <c r="AE599" s="53" t="s">
        <v>51</v>
      </c>
      <c r="AF599" s="54" t="s">
        <v>35</v>
      </c>
      <c r="AG599" s="54"/>
      <c r="AH599" s="39" t="s">
        <v>52</v>
      </c>
      <c r="AI599" s="39" t="s">
        <v>52</v>
      </c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  <c r="BV599"/>
      <c r="BW599"/>
    </row>
    <row r="600" spans="1:75" ht="17" x14ac:dyDescent="0.2">
      <c r="B600">
        <v>101</v>
      </c>
      <c r="C600" t="s">
        <v>5645</v>
      </c>
      <c r="D600" s="39" t="s">
        <v>782</v>
      </c>
      <c r="E600" s="39" t="s">
        <v>783</v>
      </c>
      <c r="F600" s="39" t="s">
        <v>35</v>
      </c>
      <c r="G600" s="39" t="s">
        <v>160</v>
      </c>
      <c r="I600" s="39" t="s">
        <v>784</v>
      </c>
      <c r="J600" s="39" t="s">
        <v>35</v>
      </c>
      <c r="K600" t="s">
        <v>785</v>
      </c>
      <c r="L600" s="49" t="s">
        <v>786</v>
      </c>
      <c r="M600" s="6" t="s">
        <v>5529</v>
      </c>
      <c r="N600" t="s">
        <v>97</v>
      </c>
      <c r="P600" s="35"/>
      <c r="Q600" t="s">
        <v>44</v>
      </c>
      <c r="R600" t="s">
        <v>787</v>
      </c>
      <c r="S600" s="6" t="s">
        <v>4267</v>
      </c>
      <c r="T600" s="43" t="s">
        <v>788</v>
      </c>
      <c r="U600" s="43" t="s">
        <v>789</v>
      </c>
      <c r="V600" t="s">
        <v>49</v>
      </c>
      <c r="W600" s="57"/>
      <c r="X600" s="57"/>
      <c r="Y600" t="s">
        <v>50</v>
      </c>
      <c r="Z600" s="39"/>
      <c r="AA600" s="39"/>
      <c r="AB600" t="s">
        <v>44</v>
      </c>
      <c r="AE600" s="53" t="s">
        <v>51</v>
      </c>
      <c r="AF600" s="54" t="s">
        <v>35</v>
      </c>
      <c r="AG600" s="54"/>
      <c r="AH600" s="39" t="s">
        <v>52</v>
      </c>
      <c r="AI600" s="39" t="s">
        <v>52</v>
      </c>
    </row>
    <row r="601" spans="1:75" ht="17" x14ac:dyDescent="0.2">
      <c r="A601">
        <v>345</v>
      </c>
      <c r="B601">
        <v>448</v>
      </c>
      <c r="C601" t="s">
        <v>5650</v>
      </c>
      <c r="D601" s="39" t="s">
        <v>2618</v>
      </c>
      <c r="E601" s="39" t="s">
        <v>783</v>
      </c>
      <c r="F601" s="39" t="s">
        <v>35</v>
      </c>
      <c r="G601" s="39" t="s">
        <v>160</v>
      </c>
      <c r="I601" s="39" t="s">
        <v>2619</v>
      </c>
      <c r="J601" s="39" t="s">
        <v>35</v>
      </c>
      <c r="K601" t="s">
        <v>2620</v>
      </c>
      <c r="L601" t="s">
        <v>2621</v>
      </c>
      <c r="M601" s="6" t="s">
        <v>3704</v>
      </c>
      <c r="N601" s="36" t="s">
        <v>86</v>
      </c>
      <c r="O601" t="s">
        <v>2622</v>
      </c>
      <c r="P601" s="35" t="s">
        <v>356</v>
      </c>
      <c r="Q601" t="s">
        <v>44</v>
      </c>
      <c r="R601" t="s">
        <v>573</v>
      </c>
      <c r="S601" s="6" t="s">
        <v>4267</v>
      </c>
      <c r="T601" s="43" t="s">
        <v>409</v>
      </c>
      <c r="U601" s="43" t="s">
        <v>409</v>
      </c>
      <c r="V601" t="s">
        <v>49</v>
      </c>
      <c r="W601" s="57"/>
      <c r="X601" s="57"/>
      <c r="Y601" t="s">
        <v>50</v>
      </c>
      <c r="Z601" s="39"/>
      <c r="AA601" s="39"/>
      <c r="AB601" t="s">
        <v>62</v>
      </c>
      <c r="AC601" s="42">
        <v>40687</v>
      </c>
      <c r="AD601" s="42">
        <v>40985</v>
      </c>
      <c r="AE601" s="53" t="s">
        <v>51</v>
      </c>
      <c r="AF601" s="54" t="s">
        <v>35</v>
      </c>
      <c r="AG601" s="54"/>
      <c r="AH601" s="39" t="s">
        <v>52</v>
      </c>
      <c r="AI601" s="39" t="s">
        <v>52</v>
      </c>
    </row>
    <row r="602" spans="1:75" ht="17" x14ac:dyDescent="0.2">
      <c r="A602">
        <v>606</v>
      </c>
      <c r="B602">
        <v>324</v>
      </c>
      <c r="C602" t="s">
        <v>5800</v>
      </c>
      <c r="D602" s="39" t="s">
        <v>2018</v>
      </c>
      <c r="E602" s="39" t="s">
        <v>2019</v>
      </c>
      <c r="F602" s="39" t="s">
        <v>35</v>
      </c>
      <c r="G602" s="39" t="s">
        <v>259</v>
      </c>
      <c r="I602" s="39" t="s">
        <v>2020</v>
      </c>
      <c r="J602" s="39" t="s">
        <v>35</v>
      </c>
      <c r="K602" t="s">
        <v>2021</v>
      </c>
      <c r="L602" t="s">
        <v>1423</v>
      </c>
      <c r="M602" s="6" t="s">
        <v>6109</v>
      </c>
      <c r="N602" t="s">
        <v>131</v>
      </c>
      <c r="O602" t="s">
        <v>190</v>
      </c>
      <c r="P602" s="35" t="s">
        <v>191</v>
      </c>
      <c r="Q602" t="s">
        <v>44</v>
      </c>
      <c r="R602" t="s">
        <v>2022</v>
      </c>
      <c r="S602" s="6" t="s">
        <v>4042</v>
      </c>
      <c r="T602" s="43" t="s">
        <v>213</v>
      </c>
      <c r="U602" s="43" t="s">
        <v>213</v>
      </c>
      <c r="V602" t="s">
        <v>190</v>
      </c>
      <c r="W602" s="57"/>
      <c r="X602" s="57"/>
      <c r="Y602" t="s">
        <v>191</v>
      </c>
      <c r="Z602" s="39"/>
      <c r="AA602" s="39"/>
      <c r="AB602" t="s">
        <v>44</v>
      </c>
      <c r="AC602" s="42">
        <v>44571</v>
      </c>
      <c r="AD602" s="42">
        <v>44931</v>
      </c>
      <c r="AE602" s="53" t="s">
        <v>51</v>
      </c>
      <c r="AF602" s="54" t="s">
        <v>35</v>
      </c>
      <c r="AG602" s="54"/>
      <c r="AH602" s="39" t="s">
        <v>52</v>
      </c>
      <c r="AI602" s="39" t="s">
        <v>52</v>
      </c>
    </row>
    <row r="603" spans="1:75" ht="17" x14ac:dyDescent="0.2">
      <c r="A603" t="s">
        <v>35</v>
      </c>
      <c r="B603">
        <v>187</v>
      </c>
      <c r="C603" t="s">
        <v>5786</v>
      </c>
      <c r="D603" s="39" t="s">
        <v>1312</v>
      </c>
      <c r="E603" s="39" t="s">
        <v>1313</v>
      </c>
      <c r="F603" s="39" t="s">
        <v>349</v>
      </c>
      <c r="G603" s="39" t="s">
        <v>36</v>
      </c>
      <c r="I603" s="39" t="s">
        <v>1314</v>
      </c>
      <c r="J603" s="39" t="s">
        <v>35</v>
      </c>
      <c r="K603" t="s">
        <v>1315</v>
      </c>
      <c r="L603" s="49" t="s">
        <v>58</v>
      </c>
      <c r="M603" s="6" t="s">
        <v>35</v>
      </c>
      <c r="N603" t="s">
        <v>97</v>
      </c>
      <c r="O603" t="s">
        <v>49</v>
      </c>
      <c r="P603" s="35" t="s">
        <v>50</v>
      </c>
      <c r="Q603" t="s">
        <v>62</v>
      </c>
      <c r="R603" t="s">
        <v>1316</v>
      </c>
      <c r="S603" s="6" t="s">
        <v>35</v>
      </c>
      <c r="T603" s="43" t="s">
        <v>35</v>
      </c>
      <c r="U603" s="43" t="s">
        <v>35</v>
      </c>
      <c r="W603" s="57"/>
      <c r="X603" s="57"/>
      <c r="Z603" s="39"/>
      <c r="AA603" s="39"/>
      <c r="AB603" t="s">
        <v>35</v>
      </c>
      <c r="AC603" s="42">
        <v>2019</v>
      </c>
      <c r="AD603" s="42">
        <v>2022</v>
      </c>
      <c r="AE603" s="53" t="s">
        <v>51</v>
      </c>
      <c r="AF603" s="54" t="s">
        <v>35</v>
      </c>
      <c r="AG603" s="54"/>
      <c r="AH603" s="39" t="s">
        <v>52</v>
      </c>
      <c r="AI603" s="39" t="s">
        <v>52</v>
      </c>
    </row>
    <row r="604" spans="1:75" ht="17" x14ac:dyDescent="0.2">
      <c r="A604">
        <v>370</v>
      </c>
      <c r="B604">
        <v>367</v>
      </c>
      <c r="C604" t="s">
        <v>5663</v>
      </c>
      <c r="D604" s="39" t="s">
        <v>2235</v>
      </c>
      <c r="E604" s="39" t="s">
        <v>2239</v>
      </c>
      <c r="F604" s="39" t="s">
        <v>35</v>
      </c>
      <c r="G604" s="39" t="s">
        <v>160</v>
      </c>
      <c r="I604" s="39" t="s">
        <v>2240</v>
      </c>
      <c r="J604" s="39" t="s">
        <v>35</v>
      </c>
      <c r="K604" t="s">
        <v>2241</v>
      </c>
      <c r="L604" t="s">
        <v>423</v>
      </c>
      <c r="M604" s="6" t="s">
        <v>6110</v>
      </c>
      <c r="N604" t="s">
        <v>86</v>
      </c>
      <c r="O604" t="s">
        <v>49</v>
      </c>
      <c r="P604" s="35" t="s">
        <v>50</v>
      </c>
      <c r="Q604" t="s">
        <v>115</v>
      </c>
      <c r="R604" t="s">
        <v>2242</v>
      </c>
      <c r="S604" s="6" t="s">
        <v>64</v>
      </c>
      <c r="T604" s="43" t="s">
        <v>2243</v>
      </c>
      <c r="U604" s="43" t="s">
        <v>324</v>
      </c>
      <c r="V604" t="s">
        <v>49</v>
      </c>
      <c r="W604" s="57"/>
      <c r="X604" s="57"/>
      <c r="Y604" t="s">
        <v>50</v>
      </c>
      <c r="Z604" s="39"/>
      <c r="AA604" s="39"/>
      <c r="AB604" t="s">
        <v>100</v>
      </c>
      <c r="AC604" s="42">
        <v>41395</v>
      </c>
      <c r="AD604" s="42">
        <v>42036</v>
      </c>
      <c r="AE604" s="53" t="s">
        <v>157</v>
      </c>
      <c r="AF604" s="54" t="s">
        <v>35</v>
      </c>
      <c r="AG604" s="54"/>
      <c r="AH604" s="39" t="s">
        <v>70</v>
      </c>
      <c r="AI604" s="39" t="s">
        <v>52</v>
      </c>
    </row>
    <row r="605" spans="1:75" ht="17" x14ac:dyDescent="0.2">
      <c r="A605">
        <v>484</v>
      </c>
      <c r="B605">
        <v>437</v>
      </c>
      <c r="C605" t="s">
        <v>5665</v>
      </c>
      <c r="D605" s="39" t="s">
        <v>2577</v>
      </c>
      <c r="E605" s="39" t="s">
        <v>2239</v>
      </c>
      <c r="F605" s="39" t="s">
        <v>35</v>
      </c>
      <c r="G605" s="39" t="s">
        <v>36</v>
      </c>
      <c r="H605" s="34"/>
      <c r="I605" s="39" t="s">
        <v>2578</v>
      </c>
      <c r="J605" s="39" t="s">
        <v>35</v>
      </c>
      <c r="K605" t="s">
        <v>2579</v>
      </c>
      <c r="L605" t="s">
        <v>611</v>
      </c>
      <c r="M605" s="6" t="s">
        <v>3901</v>
      </c>
      <c r="N605" t="s">
        <v>97</v>
      </c>
      <c r="O605" t="s">
        <v>42</v>
      </c>
      <c r="P605" s="35" t="s">
        <v>43</v>
      </c>
      <c r="Q605" t="s">
        <v>44</v>
      </c>
      <c r="R605" t="s">
        <v>436</v>
      </c>
      <c r="S605" s="6" t="s">
        <v>6284</v>
      </c>
      <c r="T605" s="43" t="s">
        <v>1027</v>
      </c>
      <c r="U605" s="43" t="s">
        <v>1300</v>
      </c>
      <c r="V605" t="s">
        <v>42</v>
      </c>
      <c r="W605" s="57"/>
      <c r="X605" s="57"/>
      <c r="Y605" t="s">
        <v>43</v>
      </c>
      <c r="Z605" s="39"/>
      <c r="AA605" s="39"/>
      <c r="AB605" t="s">
        <v>44</v>
      </c>
      <c r="AC605" s="42">
        <v>43358</v>
      </c>
      <c r="AD605" s="42">
        <v>44075</v>
      </c>
      <c r="AE605" s="53" t="s">
        <v>425</v>
      </c>
      <c r="AF605" s="54" t="s">
        <v>35</v>
      </c>
      <c r="AG605" s="54"/>
      <c r="AH605" s="39" t="s">
        <v>52</v>
      </c>
      <c r="AI605" s="39" t="s">
        <v>70</v>
      </c>
    </row>
    <row r="606" spans="1:75" ht="17" x14ac:dyDescent="0.2">
      <c r="A606" t="s">
        <v>35</v>
      </c>
      <c r="B606">
        <v>554</v>
      </c>
      <c r="C606" t="s">
        <v>5831</v>
      </c>
      <c r="D606" s="39" t="s">
        <v>3132</v>
      </c>
      <c r="E606" s="39" t="s">
        <v>2239</v>
      </c>
      <c r="F606" s="39" t="s">
        <v>326</v>
      </c>
      <c r="G606" s="39" t="s">
        <v>55</v>
      </c>
      <c r="I606" s="39" t="s">
        <v>3133</v>
      </c>
      <c r="J606" s="39" t="s">
        <v>35</v>
      </c>
      <c r="K606" t="s">
        <v>3134</v>
      </c>
      <c r="L606" t="s">
        <v>3135</v>
      </c>
      <c r="M606" s="6" t="s">
        <v>6009</v>
      </c>
      <c r="N606" t="s">
        <v>59</v>
      </c>
      <c r="O606" t="s">
        <v>190</v>
      </c>
      <c r="P606" s="35" t="s">
        <v>191</v>
      </c>
      <c r="Q606" t="s">
        <v>132</v>
      </c>
      <c r="R606" t="s">
        <v>3136</v>
      </c>
      <c r="S606" s="6" t="s">
        <v>4204</v>
      </c>
      <c r="T606" s="43" t="s">
        <v>308</v>
      </c>
      <c r="U606" s="43" t="s">
        <v>308</v>
      </c>
      <c r="V606" t="s">
        <v>190</v>
      </c>
      <c r="W606" s="57"/>
      <c r="X606" s="57"/>
      <c r="Y606" t="s">
        <v>191</v>
      </c>
      <c r="Z606" s="39"/>
      <c r="AA606" s="39"/>
      <c r="AB606" t="s">
        <v>132</v>
      </c>
      <c r="AC606" s="42">
        <v>41310</v>
      </c>
      <c r="AD606" s="42">
        <v>41554</v>
      </c>
      <c r="AE606" s="53" t="s">
        <v>559</v>
      </c>
      <c r="AF606" s="54" t="s">
        <v>35</v>
      </c>
      <c r="AG606" s="54"/>
      <c r="AH606" s="39" t="s">
        <v>52</v>
      </c>
      <c r="AI606" s="39" t="s">
        <v>70</v>
      </c>
    </row>
    <row r="607" spans="1:75" ht="17" x14ac:dyDescent="0.2">
      <c r="A607" t="s">
        <v>35</v>
      </c>
      <c r="B607">
        <v>18</v>
      </c>
      <c r="C607" t="s">
        <v>5757</v>
      </c>
      <c r="D607" s="39" t="s">
        <v>215</v>
      </c>
      <c r="E607" s="39" t="s">
        <v>216</v>
      </c>
      <c r="F607" s="39" t="s">
        <v>217</v>
      </c>
      <c r="G607" s="39" t="s">
        <v>36</v>
      </c>
      <c r="I607" s="39" t="s">
        <v>218</v>
      </c>
      <c r="J607" s="39" t="s">
        <v>35</v>
      </c>
      <c r="K607" t="s">
        <v>219</v>
      </c>
      <c r="L607" t="s">
        <v>220</v>
      </c>
      <c r="M607" s="6" t="s">
        <v>3517</v>
      </c>
      <c r="N607" t="s">
        <v>97</v>
      </c>
      <c r="O607" t="s">
        <v>221</v>
      </c>
      <c r="P607" s="35" t="s">
        <v>222</v>
      </c>
      <c r="Q607" t="s">
        <v>62</v>
      </c>
      <c r="R607" t="s">
        <v>223</v>
      </c>
      <c r="S607" s="6" t="s">
        <v>5621</v>
      </c>
      <c r="T607" s="43" t="s">
        <v>224</v>
      </c>
      <c r="U607" s="43" t="s">
        <v>126</v>
      </c>
      <c r="V607" t="s">
        <v>190</v>
      </c>
      <c r="W607" s="57"/>
      <c r="X607" s="57"/>
      <c r="Y607" t="s">
        <v>191</v>
      </c>
      <c r="Z607" s="39"/>
      <c r="AA607" s="39"/>
      <c r="AB607" t="s">
        <v>62</v>
      </c>
      <c r="AC607" s="42">
        <v>43891</v>
      </c>
      <c r="AD607" s="42">
        <v>44378</v>
      </c>
      <c r="AE607" s="53" t="s">
        <v>51</v>
      </c>
      <c r="AF607" s="54" t="s">
        <v>35</v>
      </c>
      <c r="AG607" s="54"/>
      <c r="AH607" s="39" t="s">
        <v>52</v>
      </c>
      <c r="AI607" s="39" t="s">
        <v>52</v>
      </c>
    </row>
    <row r="608" spans="1:75" ht="17" x14ac:dyDescent="0.2">
      <c r="A608">
        <v>290</v>
      </c>
      <c r="B608">
        <v>438</v>
      </c>
      <c r="C608" t="s">
        <v>5669</v>
      </c>
      <c r="D608" s="39" t="s">
        <v>2580</v>
      </c>
      <c r="E608" s="39" t="s">
        <v>2581</v>
      </c>
      <c r="F608" s="39" t="s">
        <v>35</v>
      </c>
      <c r="G608" s="39" t="s">
        <v>55</v>
      </c>
      <c r="I608" s="39" t="s">
        <v>2582</v>
      </c>
      <c r="J608" s="39" t="s">
        <v>35</v>
      </c>
      <c r="K608" t="s">
        <v>2583</v>
      </c>
      <c r="L608" t="s">
        <v>2584</v>
      </c>
      <c r="M608" s="6" t="s">
        <v>6111</v>
      </c>
      <c r="N608" t="s">
        <v>86</v>
      </c>
      <c r="O608" t="s">
        <v>49</v>
      </c>
      <c r="P608" s="35" t="s">
        <v>50</v>
      </c>
      <c r="Q608" t="s">
        <v>980</v>
      </c>
      <c r="R608" t="s">
        <v>1927</v>
      </c>
      <c r="S608" s="6" t="s">
        <v>3501</v>
      </c>
      <c r="T608" s="43" t="s">
        <v>1466</v>
      </c>
      <c r="U608" s="43" t="s">
        <v>1791</v>
      </c>
      <c r="V608" t="s">
        <v>621</v>
      </c>
      <c r="W608" s="57"/>
      <c r="X608" s="57"/>
      <c r="Y608" t="s">
        <v>622</v>
      </c>
      <c r="Z608" s="39"/>
      <c r="AA608" s="39"/>
      <c r="AB608" t="s">
        <v>980</v>
      </c>
      <c r="AC608" s="42">
        <v>38896</v>
      </c>
      <c r="AD608" s="42">
        <v>39126</v>
      </c>
      <c r="AE608" s="53" t="s">
        <v>51</v>
      </c>
      <c r="AF608" s="54" t="s">
        <v>35</v>
      </c>
      <c r="AG608" s="54"/>
      <c r="AH608" s="39" t="s">
        <v>52</v>
      </c>
      <c r="AI608" s="39" t="s">
        <v>52</v>
      </c>
    </row>
    <row r="609" spans="1:35" ht="17" x14ac:dyDescent="0.2">
      <c r="A609" t="s">
        <v>35</v>
      </c>
      <c r="B609">
        <v>377</v>
      </c>
      <c r="C609" t="s">
        <v>5682</v>
      </c>
      <c r="D609" s="39" t="s">
        <v>2287</v>
      </c>
      <c r="E609" s="39" t="s">
        <v>2288</v>
      </c>
      <c r="F609" s="39" t="s">
        <v>2289</v>
      </c>
      <c r="G609" s="39" t="s">
        <v>205</v>
      </c>
      <c r="H609" s="34"/>
      <c r="I609" s="39" t="s">
        <v>2290</v>
      </c>
      <c r="J609" s="39" t="s">
        <v>35</v>
      </c>
      <c r="K609" t="s">
        <v>2291</v>
      </c>
      <c r="L609" t="s">
        <v>2292</v>
      </c>
      <c r="M609" s="6" t="s">
        <v>6112</v>
      </c>
      <c r="N609" t="s">
        <v>59</v>
      </c>
      <c r="O609" t="s">
        <v>2293</v>
      </c>
      <c r="P609" s="35" t="s">
        <v>50</v>
      </c>
      <c r="Q609" t="s">
        <v>44</v>
      </c>
      <c r="S609" s="6" t="s">
        <v>5629</v>
      </c>
      <c r="T609" s="43" t="s">
        <v>35</v>
      </c>
      <c r="U609" s="43" t="s">
        <v>35</v>
      </c>
      <c r="W609" s="57"/>
      <c r="X609" s="57"/>
      <c r="Z609" s="39"/>
      <c r="AA609" s="39"/>
      <c r="AB609" t="s">
        <v>35</v>
      </c>
      <c r="AC609" s="42">
        <v>36325</v>
      </c>
      <c r="AD609" s="42">
        <v>36584</v>
      </c>
      <c r="AE609" s="53" t="s">
        <v>51</v>
      </c>
      <c r="AF609" s="54" t="s">
        <v>35</v>
      </c>
      <c r="AG609" s="54"/>
      <c r="AH609" s="39" t="s">
        <v>52</v>
      </c>
      <c r="AI609" s="39" t="s">
        <v>52</v>
      </c>
    </row>
    <row r="610" spans="1:35" ht="17" x14ac:dyDescent="0.2">
      <c r="A610">
        <v>144</v>
      </c>
      <c r="B610">
        <v>552</v>
      </c>
      <c r="C610" t="s">
        <v>5683</v>
      </c>
      <c r="D610" s="39" t="s">
        <v>3118</v>
      </c>
      <c r="E610" s="39" t="s">
        <v>3119</v>
      </c>
      <c r="F610" s="39" t="s">
        <v>35</v>
      </c>
      <c r="G610" s="39" t="s">
        <v>205</v>
      </c>
      <c r="I610" s="39" t="s">
        <v>3120</v>
      </c>
      <c r="J610" s="39" t="s">
        <v>35</v>
      </c>
      <c r="K610" t="s">
        <v>3121</v>
      </c>
      <c r="L610" t="s">
        <v>3122</v>
      </c>
      <c r="M610" s="6" t="s">
        <v>6113</v>
      </c>
      <c r="N610" t="s">
        <v>86</v>
      </c>
      <c r="O610" t="s">
        <v>2478</v>
      </c>
      <c r="P610" s="35" t="s">
        <v>50</v>
      </c>
      <c r="Q610" t="s">
        <v>980</v>
      </c>
      <c r="R610" t="s">
        <v>3123</v>
      </c>
      <c r="S610" s="6" t="s">
        <v>5182</v>
      </c>
      <c r="T610" s="43" t="s">
        <v>164</v>
      </c>
      <c r="U610" s="43" t="s">
        <v>1060</v>
      </c>
      <c r="V610" t="s">
        <v>2478</v>
      </c>
      <c r="W610" s="57"/>
      <c r="X610" s="57"/>
      <c r="Y610" t="s">
        <v>50</v>
      </c>
      <c r="Z610" s="39"/>
      <c r="AA610" s="39"/>
      <c r="AB610" t="s">
        <v>558</v>
      </c>
      <c r="AC610" s="42">
        <v>36280</v>
      </c>
      <c r="AD610" s="42">
        <v>36584</v>
      </c>
      <c r="AE610" s="53" t="s">
        <v>51</v>
      </c>
      <c r="AF610" s="54" t="s">
        <v>35</v>
      </c>
      <c r="AG610" s="54"/>
      <c r="AH610" s="39" t="s">
        <v>52</v>
      </c>
      <c r="AI610" s="39" t="s">
        <v>52</v>
      </c>
    </row>
    <row r="611" spans="1:35" ht="17" x14ac:dyDescent="0.2">
      <c r="A611">
        <v>571</v>
      </c>
      <c r="B611">
        <v>610</v>
      </c>
      <c r="C611" t="s">
        <v>5842</v>
      </c>
      <c r="D611" s="39" t="s">
        <v>3394</v>
      </c>
      <c r="E611" s="39" t="s">
        <v>3395</v>
      </c>
      <c r="F611" s="39" t="s">
        <v>35</v>
      </c>
      <c r="G611" s="39" t="s">
        <v>259</v>
      </c>
      <c r="I611" s="39" t="s">
        <v>3396</v>
      </c>
      <c r="J611" s="39" t="s">
        <v>35</v>
      </c>
      <c r="K611" t="s">
        <v>3397</v>
      </c>
      <c r="L611" t="s">
        <v>3398</v>
      </c>
      <c r="M611" s="6" t="s">
        <v>6114</v>
      </c>
      <c r="N611" t="s">
        <v>131</v>
      </c>
      <c r="P611" s="35" t="s">
        <v>894</v>
      </c>
      <c r="Q611" t="s">
        <v>62</v>
      </c>
      <c r="R611" t="s">
        <v>3399</v>
      </c>
      <c r="S611" s="6" t="s">
        <v>3461</v>
      </c>
      <c r="T611" s="43" t="s">
        <v>213</v>
      </c>
      <c r="U611" s="43" t="s">
        <v>213</v>
      </c>
      <c r="V611" t="s">
        <v>42</v>
      </c>
      <c r="W611" s="57"/>
      <c r="X611" s="57"/>
      <c r="Y611" t="s">
        <v>43</v>
      </c>
      <c r="Z611" s="39"/>
      <c r="AA611" s="39"/>
      <c r="AB611" t="s">
        <v>87</v>
      </c>
      <c r="AC611" s="42">
        <v>44206</v>
      </c>
      <c r="AD611" s="42">
        <v>44931</v>
      </c>
      <c r="AE611" s="53" t="s">
        <v>51</v>
      </c>
      <c r="AF611" s="54" t="s">
        <v>35</v>
      </c>
      <c r="AG611" s="54"/>
      <c r="AH611" s="39" t="s">
        <v>52</v>
      </c>
      <c r="AI611" s="39" t="s">
        <v>52</v>
      </c>
    </row>
    <row r="612" spans="1:35" ht="17" x14ac:dyDescent="0.2">
      <c r="A612">
        <v>521</v>
      </c>
      <c r="B612">
        <v>1</v>
      </c>
      <c r="C612" t="s">
        <v>5755</v>
      </c>
      <c r="D612" s="39" t="s">
        <v>33</v>
      </c>
      <c r="E612" s="39" t="s">
        <v>34</v>
      </c>
      <c r="F612" s="39" t="s">
        <v>35</v>
      </c>
      <c r="G612" s="39" t="s">
        <v>36</v>
      </c>
      <c r="I612" s="39" t="s">
        <v>37</v>
      </c>
      <c r="J612" s="39" t="s">
        <v>35</v>
      </c>
      <c r="K612" t="s">
        <v>38</v>
      </c>
      <c r="L612" t="s">
        <v>39</v>
      </c>
      <c r="M612" s="6" t="s">
        <v>6115</v>
      </c>
      <c r="N612" t="s">
        <v>41</v>
      </c>
      <c r="O612" t="s">
        <v>42</v>
      </c>
      <c r="P612" s="35" t="s">
        <v>43</v>
      </c>
      <c r="Q612" t="s">
        <v>44</v>
      </c>
      <c r="R612" t="s">
        <v>45</v>
      </c>
      <c r="S612" s="6" t="s">
        <v>35</v>
      </c>
      <c r="T612" s="43" t="s">
        <v>47</v>
      </c>
      <c r="U612" s="43" t="s">
        <v>48</v>
      </c>
      <c r="V612" t="s">
        <v>49</v>
      </c>
      <c r="W612" s="57"/>
      <c r="X612" s="57"/>
      <c r="Y612" t="s">
        <v>50</v>
      </c>
      <c r="Z612" s="39"/>
      <c r="AA612" s="39"/>
      <c r="AB612" t="s">
        <v>44</v>
      </c>
      <c r="AC612" s="42">
        <v>43836</v>
      </c>
      <c r="AD612" s="42">
        <v>44567</v>
      </c>
      <c r="AE612" s="53" t="s">
        <v>51</v>
      </c>
      <c r="AF612" s="54" t="s">
        <v>35</v>
      </c>
      <c r="AG612" s="54"/>
      <c r="AH612" s="39" t="s">
        <v>52</v>
      </c>
      <c r="AI612" s="39" t="s">
        <v>52</v>
      </c>
    </row>
    <row r="613" spans="1:35" ht="17" x14ac:dyDescent="0.2">
      <c r="A613">
        <v>607</v>
      </c>
      <c r="B613">
        <v>331</v>
      </c>
      <c r="C613" t="s">
        <v>5803</v>
      </c>
      <c r="D613" s="39" t="s">
        <v>2057</v>
      </c>
      <c r="E613" s="39" t="s">
        <v>2058</v>
      </c>
      <c r="F613" s="39" t="s">
        <v>35</v>
      </c>
      <c r="G613" s="39" t="s">
        <v>36</v>
      </c>
      <c r="I613" s="39" t="s">
        <v>2059</v>
      </c>
      <c r="J613" s="39" t="s">
        <v>2060</v>
      </c>
      <c r="K613" t="s">
        <v>2061</v>
      </c>
      <c r="L613" t="s">
        <v>2062</v>
      </c>
      <c r="M613" s="6" t="s">
        <v>6116</v>
      </c>
      <c r="N613" t="s">
        <v>131</v>
      </c>
      <c r="O613" t="s">
        <v>42</v>
      </c>
      <c r="P613" s="35" t="s">
        <v>43</v>
      </c>
      <c r="Q613" t="s">
        <v>44</v>
      </c>
      <c r="R613" t="s">
        <v>2063</v>
      </c>
      <c r="S613" s="6" t="s">
        <v>5649</v>
      </c>
      <c r="T613" s="43" t="s">
        <v>47</v>
      </c>
      <c r="U613" s="43" t="s">
        <v>48</v>
      </c>
      <c r="V613" t="s">
        <v>2064</v>
      </c>
      <c r="W613" s="57"/>
      <c r="X613" s="57"/>
      <c r="Y613" t="s">
        <v>2051</v>
      </c>
      <c r="Z613" s="39"/>
      <c r="AA613" s="39"/>
      <c r="AB613" t="s">
        <v>200</v>
      </c>
      <c r="AC613" s="42">
        <v>44571</v>
      </c>
      <c r="AD613" s="42">
        <v>44935</v>
      </c>
      <c r="AE613" s="53" t="s">
        <v>51</v>
      </c>
      <c r="AF613" s="54" t="s">
        <v>35</v>
      </c>
      <c r="AG613" s="54"/>
      <c r="AH613" s="39" t="s">
        <v>52</v>
      </c>
      <c r="AI613" s="39" t="s">
        <v>52</v>
      </c>
    </row>
    <row r="614" spans="1:35" ht="17" x14ac:dyDescent="0.2">
      <c r="G614" s="39" t="s">
        <v>35</v>
      </c>
      <c r="I614" s="39" t="s">
        <v>35</v>
      </c>
      <c r="J614" s="39" t="s">
        <v>35</v>
      </c>
      <c r="K614" t="s">
        <v>3411</v>
      </c>
      <c r="L614" t="s">
        <v>2958</v>
      </c>
      <c r="M614" s="6" t="s">
        <v>5253</v>
      </c>
      <c r="N614" t="s">
        <v>41</v>
      </c>
      <c r="Q614" t="s">
        <v>35</v>
      </c>
      <c r="S614" s="6" t="s">
        <v>5652</v>
      </c>
      <c r="T614" s="43" t="s">
        <v>35</v>
      </c>
      <c r="U614" s="43" t="s">
        <v>35</v>
      </c>
      <c r="AB614" t="s">
        <v>35</v>
      </c>
    </row>
    <row r="615" spans="1:35" ht="16.25" customHeight="1" x14ac:dyDescent="0.2">
      <c r="G615" s="39" t="s">
        <v>35</v>
      </c>
      <c r="I615" s="39" t="s">
        <v>35</v>
      </c>
      <c r="J615" s="39" t="s">
        <v>35</v>
      </c>
      <c r="M615" s="6" t="s">
        <v>6117</v>
      </c>
      <c r="Q615" t="s">
        <v>35</v>
      </c>
      <c r="S615" s="6" t="s">
        <v>6285</v>
      </c>
      <c r="T615" s="43" t="s">
        <v>35</v>
      </c>
      <c r="U615" s="43" t="s">
        <v>35</v>
      </c>
      <c r="AB615" t="s">
        <v>35</v>
      </c>
    </row>
    <row r="616" spans="1:35" ht="17" x14ac:dyDescent="0.2">
      <c r="G616" s="39" t="s">
        <v>35</v>
      </c>
      <c r="I616" s="39" t="s">
        <v>35</v>
      </c>
      <c r="J616" s="39" t="s">
        <v>35</v>
      </c>
      <c r="M616" s="6" t="s">
        <v>4267</v>
      </c>
      <c r="Q616" t="s">
        <v>35</v>
      </c>
      <c r="S616" s="6" t="s">
        <v>6286</v>
      </c>
      <c r="T616" s="43" t="s">
        <v>35</v>
      </c>
      <c r="U616" s="43" t="s">
        <v>35</v>
      </c>
      <c r="AB616" t="s">
        <v>35</v>
      </c>
    </row>
    <row r="617" spans="1:35" ht="17" x14ac:dyDescent="0.2">
      <c r="G617" s="39" t="s">
        <v>35</v>
      </c>
      <c r="I617" s="39" t="s">
        <v>35</v>
      </c>
      <c r="J617" s="39" t="s">
        <v>35</v>
      </c>
      <c r="M617" s="6" t="s">
        <v>212</v>
      </c>
      <c r="Q617" t="s">
        <v>35</v>
      </c>
      <c r="S617" s="6" t="s">
        <v>5662</v>
      </c>
      <c r="T617" s="43" t="s">
        <v>35</v>
      </c>
      <c r="U617" s="43" t="s">
        <v>35</v>
      </c>
      <c r="AB617" t="s">
        <v>35</v>
      </c>
    </row>
    <row r="618" spans="1:35" ht="17" x14ac:dyDescent="0.2">
      <c r="G618" s="39" t="s">
        <v>35</v>
      </c>
      <c r="I618" s="39" t="s">
        <v>35</v>
      </c>
      <c r="J618" s="39" t="s">
        <v>35</v>
      </c>
      <c r="M618" s="6" t="s">
        <v>3837</v>
      </c>
      <c r="Q618" t="s">
        <v>35</v>
      </c>
      <c r="S618" s="6" t="s">
        <v>3837</v>
      </c>
      <c r="T618" s="43" t="s">
        <v>35</v>
      </c>
      <c r="U618" s="43" t="s">
        <v>35</v>
      </c>
      <c r="AB618" t="s">
        <v>35</v>
      </c>
    </row>
    <row r="619" spans="1:35" ht="17" x14ac:dyDescent="0.2">
      <c r="G619" s="39" t="s">
        <v>35</v>
      </c>
      <c r="I619" s="39" t="s">
        <v>35</v>
      </c>
      <c r="J619" s="39" t="s">
        <v>35</v>
      </c>
      <c r="M619" s="6" t="s">
        <v>3936</v>
      </c>
      <c r="Q619" t="s">
        <v>35</v>
      </c>
      <c r="S619" s="6" t="s">
        <v>3936</v>
      </c>
      <c r="T619" s="43" t="s">
        <v>35</v>
      </c>
      <c r="U619" s="43" t="s">
        <v>35</v>
      </c>
      <c r="AB619" t="s">
        <v>35</v>
      </c>
    </row>
    <row r="620" spans="1:35" ht="17" x14ac:dyDescent="0.2">
      <c r="G620" s="39" t="s">
        <v>35</v>
      </c>
      <c r="I620" s="39" t="s">
        <v>35</v>
      </c>
      <c r="J620" s="39" t="s">
        <v>35</v>
      </c>
      <c r="M620" s="6" t="s">
        <v>3820</v>
      </c>
      <c r="Q620" t="s">
        <v>35</v>
      </c>
      <c r="S620" s="6" t="s">
        <v>3820</v>
      </c>
      <c r="T620" s="43" t="s">
        <v>35</v>
      </c>
      <c r="U620" s="43" t="s">
        <v>35</v>
      </c>
      <c r="AB620" t="s">
        <v>35</v>
      </c>
    </row>
    <row r="621" spans="1:35" ht="17" x14ac:dyDescent="0.2">
      <c r="G621" s="39" t="s">
        <v>35</v>
      </c>
      <c r="I621" s="39" t="s">
        <v>35</v>
      </c>
      <c r="J621" s="39" t="s">
        <v>35</v>
      </c>
      <c r="M621" s="6" t="s">
        <v>6118</v>
      </c>
      <c r="Q621" t="s">
        <v>35</v>
      </c>
      <c r="S621" s="6" t="s">
        <v>5676</v>
      </c>
      <c r="T621" s="43" t="s">
        <v>35</v>
      </c>
      <c r="U621" s="43" t="s">
        <v>35</v>
      </c>
      <c r="AB621" t="s">
        <v>35</v>
      </c>
    </row>
    <row r="622" spans="1:35" ht="17" x14ac:dyDescent="0.2">
      <c r="G622" s="39" t="s">
        <v>35</v>
      </c>
      <c r="I622" s="39" t="s">
        <v>35</v>
      </c>
      <c r="J622" s="39" t="s">
        <v>35</v>
      </c>
      <c r="M622" s="6" t="s">
        <v>35</v>
      </c>
      <c r="Q622" t="s">
        <v>35</v>
      </c>
      <c r="S622" s="6" t="s">
        <v>35</v>
      </c>
      <c r="T622" s="43" t="s">
        <v>35</v>
      </c>
      <c r="U622" s="43" t="s">
        <v>35</v>
      </c>
      <c r="AB622" t="s">
        <v>35</v>
      </c>
    </row>
    <row r="623" spans="1:35" ht="17" x14ac:dyDescent="0.2">
      <c r="G623" s="39" t="s">
        <v>35</v>
      </c>
      <c r="I623" s="39" t="s">
        <v>35</v>
      </c>
      <c r="J623" s="39" t="s">
        <v>35</v>
      </c>
      <c r="M623" s="6" t="s">
        <v>6119</v>
      </c>
      <c r="Q623" t="s">
        <v>35</v>
      </c>
      <c r="S623" s="6" t="s">
        <v>35</v>
      </c>
      <c r="T623" s="43" t="s">
        <v>35</v>
      </c>
      <c r="U623" s="43" t="s">
        <v>35</v>
      </c>
      <c r="AB623" t="s">
        <v>35</v>
      </c>
    </row>
    <row r="624" spans="1:35" ht="17" x14ac:dyDescent="0.2">
      <c r="G624" s="39" t="s">
        <v>35</v>
      </c>
      <c r="I624" s="39" t="s">
        <v>35</v>
      </c>
      <c r="J624" s="39" t="s">
        <v>35</v>
      </c>
      <c r="M624" s="6" t="s">
        <v>5688</v>
      </c>
      <c r="Q624" t="s">
        <v>35</v>
      </c>
      <c r="S624" s="6" t="s">
        <v>6287</v>
      </c>
      <c r="T624" s="43" t="s">
        <v>35</v>
      </c>
      <c r="U624" s="43" t="s">
        <v>35</v>
      </c>
      <c r="AB624" t="s">
        <v>35</v>
      </c>
    </row>
    <row r="625" spans="7:28" ht="17" x14ac:dyDescent="0.2">
      <c r="G625" s="39" t="s">
        <v>35</v>
      </c>
      <c r="I625" s="39" t="s">
        <v>35</v>
      </c>
      <c r="J625" s="39" t="s">
        <v>35</v>
      </c>
      <c r="M625" s="6" t="s">
        <v>4159</v>
      </c>
      <c r="Q625" t="s">
        <v>35</v>
      </c>
      <c r="S625" s="6" t="s">
        <v>6253</v>
      </c>
      <c r="T625" s="43" t="s">
        <v>35</v>
      </c>
      <c r="U625" s="43" t="s">
        <v>35</v>
      </c>
      <c r="AB625" t="s">
        <v>35</v>
      </c>
    </row>
    <row r="626" spans="7:28" ht="17" x14ac:dyDescent="0.2">
      <c r="G626" s="39" t="s">
        <v>35</v>
      </c>
      <c r="I626" s="39" t="s">
        <v>35</v>
      </c>
      <c r="J626" s="39" t="s">
        <v>35</v>
      </c>
      <c r="M626" s="6" t="s">
        <v>6120</v>
      </c>
      <c r="Q626" t="s">
        <v>35</v>
      </c>
      <c r="S626" s="6" t="s">
        <v>6288</v>
      </c>
      <c r="T626" s="43" t="s">
        <v>35</v>
      </c>
      <c r="U626" s="43" t="s">
        <v>35</v>
      </c>
      <c r="AB626" t="s">
        <v>35</v>
      </c>
    </row>
    <row r="627" spans="7:28" ht="17" x14ac:dyDescent="0.2">
      <c r="G627" s="39" t="s">
        <v>35</v>
      </c>
      <c r="I627" s="39" t="s">
        <v>35</v>
      </c>
      <c r="J627" s="39" t="s">
        <v>35</v>
      </c>
      <c r="M627" s="6" t="s">
        <v>3476</v>
      </c>
      <c r="Q627" t="s">
        <v>35</v>
      </c>
      <c r="S627" s="6" t="s">
        <v>5182</v>
      </c>
      <c r="T627" s="43" t="s">
        <v>35</v>
      </c>
      <c r="U627" s="43" t="s">
        <v>35</v>
      </c>
      <c r="AB627" t="s">
        <v>35</v>
      </c>
    </row>
    <row r="628" spans="7:28" ht="17" x14ac:dyDescent="0.2">
      <c r="M628" s="6" t="s">
        <v>35</v>
      </c>
    </row>
  </sheetData>
  <autoFilter ref="B1:AJ629" xr:uid="{7719E3D4-1D0D-EC41-8DF9-F992DB394C92}">
    <sortState xmlns:xlrd2="http://schemas.microsoft.com/office/spreadsheetml/2017/richdata2" ref="B2:AJ629">
      <sortCondition ref="B1:B629"/>
    </sortState>
  </autoFilter>
  <sortState xmlns:xlrd2="http://schemas.microsoft.com/office/spreadsheetml/2017/richdata2" ref="A2:AI627">
    <sortCondition ref="C1:C627"/>
  </sortState>
  <conditionalFormatting sqref="M1:M1048576">
    <cfRule type="containsText" dxfId="12" priority="4" operator="containsText" text="Board Governance">
      <formula>NOT(ISERROR(SEARCH("Board Governance",M1)))</formula>
    </cfRule>
  </conditionalFormatting>
  <conditionalFormatting sqref="N1:N1048576">
    <cfRule type="containsText" dxfId="11" priority="5" operator="containsText" text="Middle Level">
      <formula>NOT(ISERROR(SEARCH("Middle Level",N1)))</formula>
    </cfRule>
    <cfRule type="containsText" dxfId="10" priority="6" operator="containsText" text="Entry level">
      <formula>NOT(ISERROR(SEARCH("Entry level",N1)))</formula>
    </cfRule>
    <cfRule type="containsText" dxfId="9" priority="7" operator="containsText" text="C Level">
      <formula>NOT(ISERROR(SEARCH("C Level",N1)))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D000B-4C6D-3943-BFF2-20D1B2E184B0}">
  <dimension ref="B1:K88"/>
  <sheetViews>
    <sheetView showGridLines="0" zoomScale="112" workbookViewId="0">
      <pane ySplit="2" topLeftCell="A3" activePane="bottomLeft" state="frozen"/>
      <selection pane="bottomLeft" activeCell="C42" sqref="C42"/>
    </sheetView>
  </sheetViews>
  <sheetFormatPr baseColWidth="10" defaultColWidth="10.5" defaultRowHeight="16" x14ac:dyDescent="0.2"/>
  <cols>
    <col min="1" max="1" width="7.5" bestFit="1" customWidth="1"/>
    <col min="2" max="2" width="7.5" customWidth="1"/>
    <col min="3" max="3" width="15" bestFit="1" customWidth="1"/>
    <col min="5" max="5" width="51.5" bestFit="1" customWidth="1"/>
    <col min="6" max="6" width="12.5" style="29" customWidth="1"/>
    <col min="7" max="7" width="11" style="29" customWidth="1"/>
    <col min="8" max="8" width="10.5" style="29"/>
    <col min="9" max="9" width="14" bestFit="1" customWidth="1"/>
    <col min="10" max="10" width="15" bestFit="1" customWidth="1"/>
    <col min="11" max="11" width="51.5" style="32" customWidth="1"/>
  </cols>
  <sheetData>
    <row r="1" spans="2:11" x14ac:dyDescent="0.2">
      <c r="F1"/>
      <c r="G1"/>
      <c r="K1"/>
    </row>
    <row r="2" spans="2:11" x14ac:dyDescent="0.2">
      <c r="B2" s="30" t="s">
        <v>3412</v>
      </c>
      <c r="C2" s="30" t="s">
        <v>1</v>
      </c>
      <c r="D2" s="30" t="s">
        <v>3413</v>
      </c>
      <c r="E2" s="30" t="s">
        <v>8</v>
      </c>
      <c r="F2" s="30" t="s">
        <v>3414</v>
      </c>
      <c r="G2" s="30" t="s">
        <v>3415</v>
      </c>
      <c r="H2" s="30" t="s">
        <v>3416</v>
      </c>
      <c r="I2" s="30" t="s">
        <v>3417</v>
      </c>
      <c r="J2" s="30" t="s">
        <v>3418</v>
      </c>
      <c r="K2" s="30" t="s">
        <v>3419</v>
      </c>
    </row>
    <row r="3" spans="2:11" x14ac:dyDescent="0.2">
      <c r="B3" t="s">
        <v>349</v>
      </c>
      <c r="C3" t="s">
        <v>2513</v>
      </c>
      <c r="D3" t="e">
        <f>_xlfn.XLOOKUP('People to contact'!C3,#REF!,#REF!)</f>
        <v>#REF!</v>
      </c>
      <c r="E3" s="3" t="s">
        <v>2516</v>
      </c>
      <c r="F3" s="29" t="s">
        <v>2889</v>
      </c>
      <c r="H3" s="29" t="s">
        <v>2889</v>
      </c>
      <c r="I3" s="29"/>
      <c r="J3" s="29"/>
      <c r="K3" s="31"/>
    </row>
    <row r="4" spans="2:11" x14ac:dyDescent="0.2">
      <c r="B4" t="s">
        <v>349</v>
      </c>
      <c r="C4" t="s">
        <v>147</v>
      </c>
      <c r="D4" t="e">
        <f>_xlfn.XLOOKUP('People to contact'!C4,#REF!,#REF!)</f>
        <v>#REF!</v>
      </c>
      <c r="E4" s="3" t="s">
        <v>3420</v>
      </c>
      <c r="G4" s="29" t="s">
        <v>2889</v>
      </c>
      <c r="H4" s="29" t="s">
        <v>2889</v>
      </c>
      <c r="I4" s="29"/>
      <c r="J4" s="29"/>
      <c r="K4" s="31"/>
    </row>
    <row r="5" spans="2:11" x14ac:dyDescent="0.2">
      <c r="B5" t="s">
        <v>3421</v>
      </c>
      <c r="C5" t="s">
        <v>484</v>
      </c>
      <c r="D5" t="e">
        <f>_xlfn.XLOOKUP('People to contact'!C5,#REF!,#REF!)</f>
        <v>#REF!</v>
      </c>
      <c r="E5" t="s">
        <v>3422</v>
      </c>
      <c r="G5" s="29" t="s">
        <v>2889</v>
      </c>
      <c r="H5" s="29" t="s">
        <v>2889</v>
      </c>
      <c r="I5" s="29"/>
      <c r="J5" s="29"/>
      <c r="K5" s="31"/>
    </row>
    <row r="6" spans="2:11" x14ac:dyDescent="0.2">
      <c r="C6" t="s">
        <v>687</v>
      </c>
      <c r="D6" t="e">
        <f>_xlfn.XLOOKUP('People to contact'!C6,#REF!,#REF!)</f>
        <v>#REF!</v>
      </c>
      <c r="E6" t="s">
        <v>3423</v>
      </c>
      <c r="G6" s="29" t="s">
        <v>2889</v>
      </c>
      <c r="I6" s="29"/>
      <c r="J6" s="29"/>
      <c r="K6" s="31" t="s">
        <v>3424</v>
      </c>
    </row>
    <row r="7" spans="2:11" x14ac:dyDescent="0.2">
      <c r="B7" t="s">
        <v>349</v>
      </c>
      <c r="C7" t="s">
        <v>985</v>
      </c>
      <c r="D7" t="e">
        <f>_xlfn.XLOOKUP('People to contact'!C7,#REF!,#REF!)</f>
        <v>#REF!</v>
      </c>
      <c r="E7" s="3" t="s">
        <v>988</v>
      </c>
      <c r="F7" s="29" t="s">
        <v>2889</v>
      </c>
      <c r="G7" s="29" t="s">
        <v>2889</v>
      </c>
      <c r="H7" s="29" t="s">
        <v>2889</v>
      </c>
      <c r="I7" s="29"/>
      <c r="J7" s="29"/>
      <c r="K7" s="31"/>
    </row>
    <row r="8" spans="2:11" x14ac:dyDescent="0.2">
      <c r="B8" t="s">
        <v>3421</v>
      </c>
      <c r="C8" t="s">
        <v>1908</v>
      </c>
      <c r="D8" t="e">
        <f>_xlfn.XLOOKUP('People to contact'!C8,#REF!,#REF!)</f>
        <v>#REF!</v>
      </c>
      <c r="E8" t="s">
        <v>1911</v>
      </c>
      <c r="F8" s="29" t="s">
        <v>2889</v>
      </c>
      <c r="H8" s="29" t="s">
        <v>2889</v>
      </c>
      <c r="I8" s="29"/>
      <c r="J8" s="29"/>
      <c r="K8" s="31"/>
    </row>
    <row r="9" spans="2:11" x14ac:dyDescent="0.2">
      <c r="B9" t="s">
        <v>349</v>
      </c>
      <c r="C9" t="s">
        <v>2099</v>
      </c>
      <c r="D9" t="e">
        <f>_xlfn.XLOOKUP('People to contact'!C9,#REF!,#REF!)</f>
        <v>#REF!</v>
      </c>
      <c r="E9" s="3" t="s">
        <v>3425</v>
      </c>
      <c r="F9" s="29" t="s">
        <v>2889</v>
      </c>
      <c r="H9" s="29" t="s">
        <v>2889</v>
      </c>
      <c r="I9" s="29"/>
      <c r="J9" s="29"/>
      <c r="K9" s="31"/>
    </row>
    <row r="10" spans="2:11" x14ac:dyDescent="0.2">
      <c r="B10" t="s">
        <v>349</v>
      </c>
      <c r="C10" t="s">
        <v>2338</v>
      </c>
      <c r="D10" t="e">
        <f>_xlfn.XLOOKUP('People to contact'!C10,#REF!,#REF!)</f>
        <v>#REF!</v>
      </c>
      <c r="E10" t="s">
        <v>3426</v>
      </c>
      <c r="F10" s="29" t="s">
        <v>2889</v>
      </c>
      <c r="H10" s="29" t="s">
        <v>2889</v>
      </c>
      <c r="I10" s="29"/>
      <c r="J10" s="29"/>
      <c r="K10" s="31"/>
    </row>
    <row r="11" spans="2:11" x14ac:dyDescent="0.2">
      <c r="B11" t="s">
        <v>349</v>
      </c>
      <c r="C11" t="s">
        <v>2705</v>
      </c>
      <c r="D11" t="e">
        <f>_xlfn.XLOOKUP('People to contact'!C11,#REF!,#REF!)</f>
        <v>#REF!</v>
      </c>
      <c r="E11" t="s">
        <v>2707</v>
      </c>
      <c r="F11" s="29" t="s">
        <v>2889</v>
      </c>
      <c r="H11" s="29" t="s">
        <v>2889</v>
      </c>
      <c r="I11" s="29"/>
      <c r="J11" s="29"/>
      <c r="K11" s="31"/>
    </row>
    <row r="12" spans="2:11" x14ac:dyDescent="0.2">
      <c r="B12" t="s">
        <v>349</v>
      </c>
      <c r="C12" t="s">
        <v>137</v>
      </c>
      <c r="D12" t="e">
        <f>_xlfn.XLOOKUP('People to contact'!C12,#REF!,#REF!)</f>
        <v>#REF!</v>
      </c>
      <c r="E12" t="s">
        <v>141</v>
      </c>
      <c r="F12" s="29" t="s">
        <v>2889</v>
      </c>
      <c r="H12" s="29" t="s">
        <v>2889</v>
      </c>
      <c r="I12" s="29"/>
      <c r="J12" s="29"/>
      <c r="K12" s="31"/>
    </row>
    <row r="13" spans="2:11" x14ac:dyDescent="0.2">
      <c r="B13" t="s">
        <v>349</v>
      </c>
      <c r="C13" t="s">
        <v>468</v>
      </c>
      <c r="D13" t="e">
        <f>_xlfn.XLOOKUP('People to contact'!C13,#REF!,#REF!)</f>
        <v>#REF!</v>
      </c>
      <c r="E13" t="s">
        <v>3427</v>
      </c>
      <c r="F13" s="29" t="s">
        <v>2889</v>
      </c>
      <c r="H13" s="29" t="s">
        <v>2889</v>
      </c>
      <c r="I13" s="29"/>
      <c r="J13" s="29"/>
      <c r="K13" s="31"/>
    </row>
    <row r="14" spans="2:11" x14ac:dyDescent="0.2">
      <c r="B14" t="s">
        <v>3421</v>
      </c>
      <c r="C14" t="s">
        <v>475</v>
      </c>
      <c r="D14" t="e">
        <f>_xlfn.XLOOKUP('People to contact'!C14,#REF!,#REF!)</f>
        <v>#REF!</v>
      </c>
      <c r="E14" t="s">
        <v>477</v>
      </c>
      <c r="F14" s="29" t="s">
        <v>2889</v>
      </c>
      <c r="H14" s="29" t="s">
        <v>2889</v>
      </c>
      <c r="I14" s="29"/>
      <c r="J14" s="29"/>
      <c r="K14" s="31"/>
    </row>
    <row r="15" spans="2:11" x14ac:dyDescent="0.2">
      <c r="B15" t="s">
        <v>349</v>
      </c>
      <c r="C15" t="s">
        <v>574</v>
      </c>
      <c r="D15" t="e">
        <f>_xlfn.XLOOKUP('People to contact'!C15,#REF!,#REF!)</f>
        <v>#REF!</v>
      </c>
      <c r="E15" t="s">
        <v>3428</v>
      </c>
      <c r="G15" s="29" t="s">
        <v>2889</v>
      </c>
      <c r="H15" s="29" t="s">
        <v>2889</v>
      </c>
      <c r="I15" s="29"/>
      <c r="J15" s="29"/>
      <c r="K15" s="31"/>
    </row>
    <row r="16" spans="2:11" x14ac:dyDescent="0.2">
      <c r="B16" t="s">
        <v>349</v>
      </c>
      <c r="C16" t="s">
        <v>692</v>
      </c>
      <c r="D16" t="e">
        <f>_xlfn.XLOOKUP('People to contact'!C16,#REF!,#REF!)</f>
        <v>#REF!</v>
      </c>
      <c r="E16" t="s">
        <v>695</v>
      </c>
      <c r="F16" s="29" t="s">
        <v>2889</v>
      </c>
      <c r="H16" s="29" t="s">
        <v>2889</v>
      </c>
      <c r="I16" s="29"/>
      <c r="J16" s="29"/>
      <c r="K16" s="31"/>
    </row>
    <row r="17" spans="2:11" x14ac:dyDescent="0.2">
      <c r="B17" t="s">
        <v>349</v>
      </c>
      <c r="C17" t="s">
        <v>881</v>
      </c>
      <c r="D17" t="e">
        <f>_xlfn.XLOOKUP('People to contact'!C17,#REF!,#REF!)</f>
        <v>#REF!</v>
      </c>
      <c r="E17" t="s">
        <v>883</v>
      </c>
      <c r="F17" s="29" t="s">
        <v>2889</v>
      </c>
      <c r="H17" s="29" t="s">
        <v>2889</v>
      </c>
      <c r="I17" s="29"/>
      <c r="J17" s="29"/>
      <c r="K17" s="31"/>
    </row>
    <row r="18" spans="2:11" x14ac:dyDescent="0.2">
      <c r="B18" t="s">
        <v>349</v>
      </c>
      <c r="C18" t="s">
        <v>1046</v>
      </c>
      <c r="D18" t="e">
        <f>_xlfn.XLOOKUP('People to contact'!C18,#REF!,#REF!)</f>
        <v>#REF!</v>
      </c>
      <c r="E18" t="s">
        <v>1048</v>
      </c>
      <c r="F18" s="29" t="s">
        <v>2889</v>
      </c>
      <c r="H18" s="29" t="s">
        <v>2889</v>
      </c>
      <c r="I18" s="29"/>
      <c r="J18" s="29"/>
      <c r="K18" s="31"/>
    </row>
    <row r="19" spans="2:11" x14ac:dyDescent="0.2">
      <c r="B19" t="s">
        <v>349</v>
      </c>
      <c r="C19" t="s">
        <v>1119</v>
      </c>
      <c r="D19" t="e">
        <f>_xlfn.XLOOKUP('People to contact'!C19,#REF!,#REF!)</f>
        <v>#REF!</v>
      </c>
      <c r="E19" t="s">
        <v>3429</v>
      </c>
      <c r="F19" s="29" t="s">
        <v>2889</v>
      </c>
      <c r="H19" s="29" t="s">
        <v>2889</v>
      </c>
      <c r="I19" s="29"/>
      <c r="J19" s="29"/>
      <c r="K19" s="31"/>
    </row>
    <row r="20" spans="2:11" x14ac:dyDescent="0.2">
      <c r="B20" t="s">
        <v>349</v>
      </c>
      <c r="C20" t="s">
        <v>1337</v>
      </c>
      <c r="D20" t="e">
        <f>_xlfn.XLOOKUP('People to contact'!C20,#REF!,#REF!)</f>
        <v>#REF!</v>
      </c>
      <c r="E20" t="s">
        <v>1339</v>
      </c>
      <c r="F20" s="29" t="s">
        <v>2889</v>
      </c>
      <c r="H20" s="29" t="s">
        <v>2889</v>
      </c>
      <c r="I20" s="29"/>
      <c r="J20" s="29"/>
      <c r="K20" s="31"/>
    </row>
    <row r="21" spans="2:11" x14ac:dyDescent="0.2">
      <c r="B21" t="s">
        <v>3421</v>
      </c>
      <c r="C21" t="s">
        <v>1457</v>
      </c>
      <c r="D21" t="e">
        <f>_xlfn.XLOOKUP('People to contact'!C21,#REF!,#REF!)</f>
        <v>#REF!</v>
      </c>
      <c r="E21" t="s">
        <v>1460</v>
      </c>
      <c r="F21" s="29" t="s">
        <v>2889</v>
      </c>
      <c r="H21" s="29" t="s">
        <v>2889</v>
      </c>
    </row>
    <row r="22" spans="2:11" x14ac:dyDescent="0.2">
      <c r="C22" t="s">
        <v>1463</v>
      </c>
      <c r="D22" t="e">
        <f>_xlfn.XLOOKUP('People to contact'!C22,#REF!,#REF!)</f>
        <v>#REF!</v>
      </c>
      <c r="E22" t="s">
        <v>1465</v>
      </c>
      <c r="G22" s="29" t="s">
        <v>2889</v>
      </c>
      <c r="H22" s="29" t="s">
        <v>2889</v>
      </c>
    </row>
    <row r="23" spans="2:11" x14ac:dyDescent="0.2">
      <c r="C23" t="s">
        <v>1525</v>
      </c>
      <c r="D23" t="e">
        <f>_xlfn.XLOOKUP('People to contact'!C23,#REF!,#REF!)</f>
        <v>#REF!</v>
      </c>
      <c r="E23" t="s">
        <v>1528</v>
      </c>
      <c r="G23" s="29" t="s">
        <v>2889</v>
      </c>
      <c r="H23" s="29" t="s">
        <v>2889</v>
      </c>
      <c r="I23" s="29"/>
      <c r="J23" s="29"/>
    </row>
    <row r="24" spans="2:11" x14ac:dyDescent="0.2">
      <c r="B24" t="s">
        <v>3421</v>
      </c>
      <c r="C24" t="s">
        <v>1541</v>
      </c>
      <c r="D24" t="e">
        <f>_xlfn.XLOOKUP('People to contact'!C24,#REF!,#REF!)</f>
        <v>#REF!</v>
      </c>
      <c r="E24" t="s">
        <v>1543</v>
      </c>
      <c r="F24" s="29" t="s">
        <v>2889</v>
      </c>
      <c r="H24" s="29" t="s">
        <v>2889</v>
      </c>
      <c r="I24" s="29"/>
      <c r="J24" s="29"/>
    </row>
    <row r="25" spans="2:11" x14ac:dyDescent="0.2">
      <c r="B25" t="s">
        <v>93</v>
      </c>
      <c r="C25" t="s">
        <v>1556</v>
      </c>
      <c r="D25" t="e">
        <f>_xlfn.XLOOKUP('People to contact'!C25,#REF!,#REF!)</f>
        <v>#REF!</v>
      </c>
      <c r="E25" t="s">
        <v>1558</v>
      </c>
      <c r="F25" s="29" t="s">
        <v>2889</v>
      </c>
      <c r="I25" s="29"/>
      <c r="J25" s="29"/>
    </row>
    <row r="26" spans="2:11" x14ac:dyDescent="0.2">
      <c r="B26" t="s">
        <v>349</v>
      </c>
      <c r="C26" t="s">
        <v>1649</v>
      </c>
      <c r="D26" t="e">
        <f>_xlfn.XLOOKUP('People to contact'!C26,#REF!,#REF!)</f>
        <v>#REF!</v>
      </c>
      <c r="E26" t="e">
        <f>_xlfn.XLOOKUP('People to contact'!C26,#REF!,#REF!)</f>
        <v>#REF!</v>
      </c>
      <c r="F26" s="29" t="s">
        <v>2889</v>
      </c>
      <c r="H26" s="29" t="s">
        <v>2889</v>
      </c>
      <c r="I26" s="29"/>
      <c r="J26" s="29"/>
    </row>
    <row r="27" spans="2:11" x14ac:dyDescent="0.2">
      <c r="C27" t="s">
        <v>1728</v>
      </c>
      <c r="D27" t="e">
        <f>_xlfn.XLOOKUP('People to contact'!C27,#REF!,#REF!)</f>
        <v>#REF!</v>
      </c>
      <c r="E27" t="e">
        <f>_xlfn.XLOOKUP('People to contact'!C27,#REF!,#REF!)</f>
        <v>#REF!</v>
      </c>
      <c r="G27" s="29" t="s">
        <v>2889</v>
      </c>
      <c r="H27" s="29" t="s">
        <v>2889</v>
      </c>
      <c r="I27" s="29"/>
      <c r="J27" s="29"/>
    </row>
    <row r="28" spans="2:11" x14ac:dyDescent="0.2">
      <c r="C28" t="s">
        <v>1752</v>
      </c>
      <c r="D28" t="e">
        <f>_xlfn.XLOOKUP('People to contact'!C28,#REF!,#REF!)</f>
        <v>#REF!</v>
      </c>
      <c r="E28" t="e">
        <f>_xlfn.XLOOKUP('People to contact'!C28,#REF!,#REF!)</f>
        <v>#REF!</v>
      </c>
      <c r="H28" s="29" t="s">
        <v>2889</v>
      </c>
      <c r="I28" s="29"/>
      <c r="J28" s="29"/>
    </row>
    <row r="29" spans="2:11" x14ac:dyDescent="0.2">
      <c r="B29" t="s">
        <v>3421</v>
      </c>
      <c r="C29" t="s">
        <v>1771</v>
      </c>
      <c r="D29" t="e">
        <f>_xlfn.XLOOKUP('People to contact'!C29,#REF!,#REF!)</f>
        <v>#REF!</v>
      </c>
      <c r="E29" t="e">
        <f>_xlfn.XLOOKUP('People to contact'!C29,#REF!,#REF!)</f>
        <v>#REF!</v>
      </c>
      <c r="F29" s="29" t="s">
        <v>2889</v>
      </c>
      <c r="H29" s="29" t="s">
        <v>2889</v>
      </c>
      <c r="I29" s="29"/>
      <c r="J29" s="29"/>
    </row>
    <row r="30" spans="2:11" x14ac:dyDescent="0.2">
      <c r="B30" t="s">
        <v>349</v>
      </c>
      <c r="C30" t="s">
        <v>732</v>
      </c>
      <c r="D30" t="e">
        <f>_xlfn.XLOOKUP('People to contact'!C30,#REF!,#REF!)</f>
        <v>#REF!</v>
      </c>
      <c r="E30" t="e">
        <f>_xlfn.XLOOKUP('People to contact'!C30,#REF!,#REF!)</f>
        <v>#REF!</v>
      </c>
      <c r="F30" s="29" t="s">
        <v>2889</v>
      </c>
      <c r="H30" s="29" t="s">
        <v>2889</v>
      </c>
      <c r="I30" s="29"/>
      <c r="J30" s="29"/>
    </row>
    <row r="31" spans="2:11" x14ac:dyDescent="0.2">
      <c r="C31" t="s">
        <v>2223</v>
      </c>
      <c r="D31" t="e">
        <f>_xlfn.XLOOKUP('People to contact'!C31,#REF!,#REF!)</f>
        <v>#REF!</v>
      </c>
      <c r="E31" t="e">
        <f>_xlfn.XLOOKUP('People to contact'!C31,#REF!,#REF!)</f>
        <v>#REF!</v>
      </c>
      <c r="G31" s="29" t="s">
        <v>2889</v>
      </c>
      <c r="H31" s="29" t="s">
        <v>2889</v>
      </c>
      <c r="I31" s="29"/>
      <c r="J31" s="29"/>
    </row>
    <row r="32" spans="2:11" x14ac:dyDescent="0.2">
      <c r="B32" t="s">
        <v>3421</v>
      </c>
      <c r="C32" t="s">
        <v>2349</v>
      </c>
      <c r="D32" t="e">
        <f>_xlfn.XLOOKUP('People to contact'!C32,#REF!,#REF!)</f>
        <v>#REF!</v>
      </c>
      <c r="E32" t="e">
        <f>_xlfn.XLOOKUP('People to contact'!C32,#REF!,#REF!)</f>
        <v>#REF!</v>
      </c>
      <c r="F32" s="29" t="s">
        <v>2889</v>
      </c>
      <c r="H32" s="29" t="s">
        <v>2889</v>
      </c>
      <c r="I32" s="29"/>
      <c r="J32" s="29"/>
    </row>
    <row r="33" spans="2:11" x14ac:dyDescent="0.2">
      <c r="B33" t="s">
        <v>3421</v>
      </c>
      <c r="C33" t="s">
        <v>2396</v>
      </c>
      <c r="D33" t="e">
        <f>_xlfn.XLOOKUP('People to contact'!C33,#REF!,#REF!)</f>
        <v>#REF!</v>
      </c>
      <c r="E33" t="e">
        <f>_xlfn.XLOOKUP('People to contact'!C33,#REF!,#REF!)</f>
        <v>#REF!</v>
      </c>
      <c r="F33" s="29" t="s">
        <v>2889</v>
      </c>
      <c r="H33" s="29" t="s">
        <v>2889</v>
      </c>
      <c r="I33" s="29"/>
      <c r="J33" s="29"/>
    </row>
    <row r="34" spans="2:11" x14ac:dyDescent="0.2">
      <c r="B34" t="s">
        <v>3421</v>
      </c>
      <c r="C34" t="s">
        <v>2412</v>
      </c>
      <c r="D34" t="e">
        <f>_xlfn.XLOOKUP('People to contact'!C34,#REF!,#REF!)</f>
        <v>#REF!</v>
      </c>
      <c r="E34" t="e">
        <f>_xlfn.XLOOKUP('People to contact'!C34,#REF!,#REF!)</f>
        <v>#REF!</v>
      </c>
      <c r="F34" s="29" t="s">
        <v>2889</v>
      </c>
      <c r="H34" s="29" t="s">
        <v>2889</v>
      </c>
      <c r="I34" s="29"/>
      <c r="J34" s="29"/>
    </row>
    <row r="35" spans="2:11" x14ac:dyDescent="0.2">
      <c r="C35" t="s">
        <v>2444</v>
      </c>
      <c r="D35" t="e">
        <f>_xlfn.XLOOKUP('People to contact'!C35,#REF!,#REF!)</f>
        <v>#REF!</v>
      </c>
      <c r="E35" t="e">
        <f>_xlfn.XLOOKUP('People to contact'!C35,#REF!,#REF!)</f>
        <v>#REF!</v>
      </c>
      <c r="F35" s="29" t="s">
        <v>2889</v>
      </c>
      <c r="H35" s="29" t="s">
        <v>2889</v>
      </c>
      <c r="I35" s="29"/>
      <c r="J35" s="29"/>
    </row>
    <row r="36" spans="2:11" x14ac:dyDescent="0.2">
      <c r="B36" t="s">
        <v>349</v>
      </c>
      <c r="C36" t="s">
        <v>2499</v>
      </c>
      <c r="D36" t="e">
        <f>_xlfn.XLOOKUP('People to contact'!C36,#REF!,#REF!)</f>
        <v>#REF!</v>
      </c>
      <c r="E36" t="e">
        <f>_xlfn.XLOOKUP('People to contact'!C36,#REF!,#REF!)</f>
        <v>#REF!</v>
      </c>
      <c r="F36" s="29" t="s">
        <v>2889</v>
      </c>
      <c r="H36" s="29" t="s">
        <v>2889</v>
      </c>
      <c r="I36" s="29"/>
      <c r="J36" s="29"/>
      <c r="K36" s="32" t="s">
        <v>3430</v>
      </c>
    </row>
    <row r="37" spans="2:11" x14ac:dyDescent="0.2">
      <c r="B37" t="s">
        <v>3421</v>
      </c>
      <c r="C37" t="s">
        <v>2538</v>
      </c>
      <c r="D37" t="e">
        <f>_xlfn.XLOOKUP('People to contact'!C37,#REF!,#REF!)</f>
        <v>#REF!</v>
      </c>
      <c r="E37" t="e">
        <f>_xlfn.XLOOKUP('People to contact'!C37,#REF!,#REF!)</f>
        <v>#REF!</v>
      </c>
      <c r="F37" s="29" t="s">
        <v>2889</v>
      </c>
      <c r="H37" s="29" t="s">
        <v>2889</v>
      </c>
      <c r="I37" s="29"/>
      <c r="J37" s="29"/>
    </row>
    <row r="38" spans="2:11" x14ac:dyDescent="0.2">
      <c r="B38" t="s">
        <v>3421</v>
      </c>
      <c r="C38" t="s">
        <v>2585</v>
      </c>
      <c r="D38" t="e">
        <f>_xlfn.XLOOKUP('People to contact'!C38,#REF!,#REF!)</f>
        <v>#REF!</v>
      </c>
      <c r="E38" t="e">
        <f>_xlfn.XLOOKUP('People to contact'!C38,#REF!,#REF!)</f>
        <v>#REF!</v>
      </c>
      <c r="F38" s="29" t="s">
        <v>2889</v>
      </c>
      <c r="H38" s="29" t="s">
        <v>2889</v>
      </c>
      <c r="I38" s="29"/>
      <c r="J38" s="29"/>
    </row>
    <row r="39" spans="2:11" x14ac:dyDescent="0.2">
      <c r="B39" t="s">
        <v>3421</v>
      </c>
      <c r="C39" t="s">
        <v>2740</v>
      </c>
      <c r="D39" t="e">
        <f>_xlfn.XLOOKUP('People to contact'!C39,#REF!,#REF!)</f>
        <v>#REF!</v>
      </c>
      <c r="E39" t="e">
        <f>_xlfn.XLOOKUP('People to contact'!C39,#REF!,#REF!)</f>
        <v>#REF!</v>
      </c>
      <c r="F39" s="29" t="s">
        <v>2889</v>
      </c>
      <c r="H39" s="29" t="s">
        <v>2889</v>
      </c>
      <c r="I39" s="29"/>
      <c r="J39" s="29"/>
    </row>
    <row r="40" spans="2:11" x14ac:dyDescent="0.2">
      <c r="B40" t="s">
        <v>3421</v>
      </c>
      <c r="C40" t="s">
        <v>2776</v>
      </c>
      <c r="D40" t="e">
        <f>_xlfn.XLOOKUP('People to contact'!C40,#REF!,#REF!)</f>
        <v>#REF!</v>
      </c>
      <c r="E40" t="e">
        <f>_xlfn.XLOOKUP('People to contact'!C40,#REF!,#REF!)</f>
        <v>#REF!</v>
      </c>
      <c r="F40" s="29" t="s">
        <v>2889</v>
      </c>
      <c r="H40" s="29" t="s">
        <v>2889</v>
      </c>
      <c r="I40" s="29"/>
      <c r="J40" s="29"/>
    </row>
    <row r="41" spans="2:11" x14ac:dyDescent="0.2">
      <c r="B41" t="s">
        <v>3421</v>
      </c>
      <c r="C41" t="s">
        <v>2781</v>
      </c>
      <c r="D41" t="e">
        <f>_xlfn.XLOOKUP('People to contact'!C41,#REF!,#REF!)</f>
        <v>#REF!</v>
      </c>
      <c r="E41" t="e">
        <f>_xlfn.XLOOKUP('People to contact'!C41,#REF!,#REF!)</f>
        <v>#REF!</v>
      </c>
      <c r="F41" s="29" t="s">
        <v>2889</v>
      </c>
      <c r="H41" s="29" t="s">
        <v>2889</v>
      </c>
      <c r="I41" s="29"/>
      <c r="J41" s="29"/>
    </row>
    <row r="42" spans="2:11" x14ac:dyDescent="0.2">
      <c r="B42" t="s">
        <v>3421</v>
      </c>
      <c r="C42" s="33" t="s">
        <v>2786</v>
      </c>
      <c r="D42" t="e">
        <f>_xlfn.XLOOKUP('People to contact'!C42,#REF!,#REF!)</f>
        <v>#REF!</v>
      </c>
      <c r="E42" t="e">
        <f>_xlfn.XLOOKUP('People to contact'!C42,#REF!,#REF!)</f>
        <v>#REF!</v>
      </c>
      <c r="F42" s="29" t="s">
        <v>2889</v>
      </c>
      <c r="H42" s="29" t="s">
        <v>2889</v>
      </c>
      <c r="I42" s="29"/>
      <c r="J42" s="29"/>
    </row>
    <row r="43" spans="2:11" x14ac:dyDescent="0.2">
      <c r="B43" t="s">
        <v>3421</v>
      </c>
      <c r="C43" t="s">
        <v>2800</v>
      </c>
      <c r="D43" t="e">
        <f>_xlfn.XLOOKUP('People to contact'!C43,#REF!,#REF!)</f>
        <v>#REF!</v>
      </c>
      <c r="E43" t="e">
        <f>_xlfn.XLOOKUP('People to contact'!C43,#REF!,#REF!)</f>
        <v>#REF!</v>
      </c>
      <c r="F43" s="29" t="s">
        <v>2889</v>
      </c>
      <c r="H43" s="29" t="s">
        <v>2889</v>
      </c>
      <c r="I43" s="29"/>
      <c r="J43" s="29"/>
    </row>
    <row r="44" spans="2:11" x14ac:dyDescent="0.2">
      <c r="B44" t="s">
        <v>3421</v>
      </c>
      <c r="C44" t="s">
        <v>2825</v>
      </c>
      <c r="D44" t="e">
        <f>_xlfn.XLOOKUP('People to contact'!C44,#REF!,#REF!)</f>
        <v>#REF!</v>
      </c>
      <c r="E44" t="e">
        <f>_xlfn.XLOOKUP('People to contact'!C44,#REF!,#REF!)</f>
        <v>#REF!</v>
      </c>
      <c r="F44" s="29" t="s">
        <v>2889</v>
      </c>
      <c r="H44" s="29" t="s">
        <v>2889</v>
      </c>
      <c r="I44" s="29"/>
      <c r="J44" s="29"/>
    </row>
    <row r="45" spans="2:11" x14ac:dyDescent="0.2">
      <c r="B45" t="s">
        <v>3421</v>
      </c>
      <c r="C45" t="s">
        <v>3096</v>
      </c>
      <c r="D45" t="e">
        <f>_xlfn.XLOOKUP('People to contact'!C45,#REF!,#REF!)</f>
        <v>#REF!</v>
      </c>
      <c r="E45" t="e">
        <f>_xlfn.XLOOKUP('People to contact'!C45,#REF!,#REF!)</f>
        <v>#REF!</v>
      </c>
      <c r="F45" s="29" t="s">
        <v>2889</v>
      </c>
      <c r="H45" s="29" t="s">
        <v>2889</v>
      </c>
      <c r="I45" s="29"/>
      <c r="J45" s="29"/>
    </row>
    <row r="46" spans="2:11" x14ac:dyDescent="0.2">
      <c r="B46" t="s">
        <v>3421</v>
      </c>
      <c r="C46" t="s">
        <v>3359</v>
      </c>
      <c r="D46" t="e">
        <f>_xlfn.XLOOKUP('People to contact'!C46,#REF!,#REF!)</f>
        <v>#REF!</v>
      </c>
      <c r="E46" t="e">
        <f>_xlfn.XLOOKUP('People to contact'!C46,#REF!,#REF!)</f>
        <v>#REF!</v>
      </c>
      <c r="F46" s="29" t="s">
        <v>2889</v>
      </c>
      <c r="H46" s="29" t="s">
        <v>2889</v>
      </c>
      <c r="I46" s="29"/>
      <c r="J46" s="29"/>
    </row>
    <row r="47" spans="2:11" x14ac:dyDescent="0.2">
      <c r="B47" t="s">
        <v>3421</v>
      </c>
      <c r="C47" t="s">
        <v>3383</v>
      </c>
      <c r="D47" t="e">
        <f>_xlfn.XLOOKUP('People to contact'!C47,#REF!,#REF!)</f>
        <v>#REF!</v>
      </c>
      <c r="E47" t="e">
        <f>_xlfn.XLOOKUP('People to contact'!C47,#REF!,#REF!)</f>
        <v>#REF!</v>
      </c>
      <c r="F47" s="29" t="s">
        <v>2889</v>
      </c>
      <c r="H47" s="29" t="s">
        <v>2889</v>
      </c>
      <c r="I47" s="29"/>
      <c r="J47" s="29"/>
    </row>
    <row r="48" spans="2:11" x14ac:dyDescent="0.2">
      <c r="B48" t="s">
        <v>3421</v>
      </c>
      <c r="C48" t="s">
        <v>372</v>
      </c>
      <c r="D48" t="e">
        <f>_xlfn.XLOOKUP('People to contact'!C48,#REF!,#REF!)</f>
        <v>#REF!</v>
      </c>
      <c r="E48" t="e">
        <f>_xlfn.XLOOKUP('People to contact'!C48,#REF!,#REF!)</f>
        <v>#REF!</v>
      </c>
      <c r="F48" s="29" t="s">
        <v>2889</v>
      </c>
      <c r="H48" s="29" t="s">
        <v>2889</v>
      </c>
      <c r="I48" s="29"/>
      <c r="J48" s="29"/>
    </row>
    <row r="49" spans="2:10" x14ac:dyDescent="0.2">
      <c r="B49" t="s">
        <v>3421</v>
      </c>
      <c r="C49" t="s">
        <v>426</v>
      </c>
      <c r="D49" t="e">
        <f>_xlfn.XLOOKUP('People to contact'!C49,#REF!,#REF!)</f>
        <v>#REF!</v>
      </c>
      <c r="E49" t="e">
        <f>_xlfn.XLOOKUP('People to contact'!C49,#REF!,#REF!)</f>
        <v>#REF!</v>
      </c>
      <c r="F49" s="29" t="s">
        <v>2889</v>
      </c>
      <c r="H49" s="29" t="s">
        <v>2889</v>
      </c>
      <c r="I49" s="29"/>
      <c r="J49" s="29"/>
    </row>
    <row r="50" spans="2:10" x14ac:dyDescent="0.2">
      <c r="B50" t="s">
        <v>3421</v>
      </c>
      <c r="C50" t="s">
        <v>819</v>
      </c>
      <c r="D50" t="e">
        <f>_xlfn.XLOOKUP('People to contact'!C50,#REF!,#REF!)</f>
        <v>#REF!</v>
      </c>
      <c r="E50" t="e">
        <f>_xlfn.XLOOKUP('People to contact'!C50,#REF!,#REF!)</f>
        <v>#REF!</v>
      </c>
      <c r="F50" s="29" t="s">
        <v>2889</v>
      </c>
      <c r="H50" s="29" t="s">
        <v>2889</v>
      </c>
      <c r="I50" s="29"/>
      <c r="J50" s="29"/>
    </row>
    <row r="51" spans="2:10" x14ac:dyDescent="0.2">
      <c r="B51" t="s">
        <v>3421</v>
      </c>
      <c r="C51" t="s">
        <v>993</v>
      </c>
      <c r="D51" t="e">
        <f>_xlfn.XLOOKUP('People to contact'!C51,#REF!,#REF!)</f>
        <v>#REF!</v>
      </c>
      <c r="E51" t="e">
        <f>_xlfn.XLOOKUP('People to contact'!C51,#REF!,#REF!)</f>
        <v>#REF!</v>
      </c>
      <c r="F51" s="29" t="s">
        <v>2889</v>
      </c>
      <c r="H51" s="29" t="s">
        <v>2889</v>
      </c>
      <c r="I51" s="29"/>
      <c r="J51" s="29"/>
    </row>
    <row r="52" spans="2:10" x14ac:dyDescent="0.2">
      <c r="B52" t="s">
        <v>3421</v>
      </c>
      <c r="C52" t="s">
        <v>1537</v>
      </c>
      <c r="D52" t="e">
        <f>_xlfn.XLOOKUP('People to contact'!C52,#REF!,#REF!)</f>
        <v>#REF!</v>
      </c>
      <c r="E52" t="e">
        <f>_xlfn.XLOOKUP('People to contact'!C52,#REF!,#REF!)</f>
        <v>#REF!</v>
      </c>
      <c r="F52" s="29" t="s">
        <v>2889</v>
      </c>
      <c r="H52" s="29" t="s">
        <v>2889</v>
      </c>
      <c r="I52" s="29"/>
      <c r="J52" s="29"/>
    </row>
    <row r="53" spans="2:10" x14ac:dyDescent="0.2">
      <c r="B53" t="s">
        <v>3421</v>
      </c>
      <c r="C53" t="s">
        <v>1578</v>
      </c>
      <c r="D53" t="e">
        <f>_xlfn.XLOOKUP('People to contact'!C53,#REF!,#REF!)</f>
        <v>#REF!</v>
      </c>
      <c r="E53" t="e">
        <f>_xlfn.XLOOKUP('People to contact'!C53,#REF!,#REF!)</f>
        <v>#REF!</v>
      </c>
      <c r="F53" s="29" t="s">
        <v>2889</v>
      </c>
      <c r="H53" s="29" t="s">
        <v>2889</v>
      </c>
      <c r="I53" s="29"/>
      <c r="J53" s="29"/>
    </row>
    <row r="54" spans="2:10" x14ac:dyDescent="0.2">
      <c r="B54" t="s">
        <v>3421</v>
      </c>
      <c r="C54" t="s">
        <v>1785</v>
      </c>
      <c r="D54" t="e">
        <f>_xlfn.XLOOKUP('People to contact'!C54,#REF!,#REF!)</f>
        <v>#REF!</v>
      </c>
      <c r="E54" t="e">
        <f>_xlfn.XLOOKUP('People to contact'!C54,#REF!,#REF!)</f>
        <v>#REF!</v>
      </c>
      <c r="F54" s="29" t="s">
        <v>2889</v>
      </c>
      <c r="H54" s="29" t="s">
        <v>2889</v>
      </c>
      <c r="I54" s="29"/>
      <c r="J54" s="29"/>
    </row>
    <row r="55" spans="2:10" x14ac:dyDescent="0.2">
      <c r="B55" t="s">
        <v>3421</v>
      </c>
      <c r="C55" t="s">
        <v>1902</v>
      </c>
      <c r="D55" t="e">
        <f>_xlfn.XLOOKUP('People to contact'!C55,#REF!,#REF!)</f>
        <v>#REF!</v>
      </c>
      <c r="E55" t="e">
        <f>_xlfn.XLOOKUP('People to contact'!C55,#REF!,#REF!)</f>
        <v>#REF!</v>
      </c>
      <c r="F55" s="29" t="s">
        <v>2889</v>
      </c>
      <c r="H55" s="29" t="s">
        <v>2889</v>
      </c>
      <c r="I55" s="29"/>
      <c r="J55" s="29"/>
    </row>
    <row r="56" spans="2:10" x14ac:dyDescent="0.2">
      <c r="B56" t="s">
        <v>3421</v>
      </c>
      <c r="C56" t="s">
        <v>2132</v>
      </c>
      <c r="D56" t="e">
        <f>_xlfn.XLOOKUP('People to contact'!C56,#REF!,#REF!)</f>
        <v>#REF!</v>
      </c>
      <c r="E56" t="e">
        <f>_xlfn.XLOOKUP('People to contact'!C56,#REF!,#REF!)</f>
        <v>#REF!</v>
      </c>
      <c r="F56" s="29" t="s">
        <v>2889</v>
      </c>
      <c r="H56" s="29" t="s">
        <v>2889</v>
      </c>
    </row>
    <row r="57" spans="2:10" x14ac:dyDescent="0.2">
      <c r="B57" t="s">
        <v>3421</v>
      </c>
      <c r="C57" t="s">
        <v>2193</v>
      </c>
      <c r="D57" t="e">
        <f>_xlfn.XLOOKUP('People to contact'!C57,#REF!,#REF!)</f>
        <v>#REF!</v>
      </c>
      <c r="E57" t="e">
        <f>_xlfn.XLOOKUP('People to contact'!C57,#REF!,#REF!)</f>
        <v>#REF!</v>
      </c>
      <c r="F57" s="29" t="s">
        <v>2889</v>
      </c>
      <c r="H57" s="29" t="s">
        <v>2889</v>
      </c>
    </row>
    <row r="58" spans="2:10" x14ac:dyDescent="0.2">
      <c r="B58" t="s">
        <v>3421</v>
      </c>
      <c r="C58" t="s">
        <v>2810</v>
      </c>
      <c r="D58" t="e">
        <f>_xlfn.XLOOKUP('People to contact'!C58,#REF!,#REF!)</f>
        <v>#REF!</v>
      </c>
      <c r="E58" t="e">
        <f>_xlfn.XLOOKUP('People to contact'!C58,#REF!,#REF!)</f>
        <v>#REF!</v>
      </c>
      <c r="F58" s="29" t="s">
        <v>2889</v>
      </c>
      <c r="H58" s="29" t="s">
        <v>2889</v>
      </c>
    </row>
    <row r="59" spans="2:10" x14ac:dyDescent="0.2">
      <c r="B59" t="s">
        <v>3421</v>
      </c>
      <c r="C59" t="s">
        <v>3038</v>
      </c>
      <c r="D59" t="e">
        <f>_xlfn.XLOOKUP('People to contact'!C59,#REF!,#REF!)</f>
        <v>#REF!</v>
      </c>
      <c r="E59" t="e">
        <f>_xlfn.XLOOKUP('People to contact'!C59,#REF!,#REF!)</f>
        <v>#REF!</v>
      </c>
      <c r="F59" s="29" t="s">
        <v>2889</v>
      </c>
      <c r="H59" s="29" t="s">
        <v>2889</v>
      </c>
    </row>
    <row r="60" spans="2:10" x14ac:dyDescent="0.2">
      <c r="B60" t="s">
        <v>3421</v>
      </c>
      <c r="C60" t="s">
        <v>3091</v>
      </c>
      <c r="D60" t="e">
        <f>_xlfn.XLOOKUP('People to contact'!C60,#REF!,#REF!)</f>
        <v>#REF!</v>
      </c>
      <c r="E60" t="e">
        <f>_xlfn.XLOOKUP('People to contact'!C60,#REF!,#REF!)</f>
        <v>#REF!</v>
      </c>
      <c r="F60" s="29" t="s">
        <v>2889</v>
      </c>
      <c r="H60" s="29" t="s">
        <v>2889</v>
      </c>
    </row>
    <row r="61" spans="2:10" x14ac:dyDescent="0.2">
      <c r="B61" t="s">
        <v>3421</v>
      </c>
      <c r="C61" t="s">
        <v>3354</v>
      </c>
      <c r="D61" t="e">
        <f>_xlfn.XLOOKUP('People to contact'!C61,#REF!,#REF!)</f>
        <v>#REF!</v>
      </c>
      <c r="E61" t="e">
        <f>_xlfn.XLOOKUP('People to contact'!C61,#REF!,#REF!)</f>
        <v>#REF!</v>
      </c>
      <c r="F61" s="29" t="s">
        <v>2889</v>
      </c>
      <c r="H61" s="29" t="s">
        <v>2889</v>
      </c>
    </row>
    <row r="62" spans="2:10" x14ac:dyDescent="0.2">
      <c r="B62" t="s">
        <v>3421</v>
      </c>
      <c r="C62" t="s">
        <v>3367</v>
      </c>
      <c r="D62" t="e">
        <f>_xlfn.XLOOKUP('People to contact'!C62,#REF!,#REF!)</f>
        <v>#REF!</v>
      </c>
      <c r="E62" t="e">
        <f>_xlfn.XLOOKUP('People to contact'!C62,#REF!,#REF!)</f>
        <v>#REF!</v>
      </c>
      <c r="F62" s="29" t="s">
        <v>2889</v>
      </c>
      <c r="H62" s="29" t="s">
        <v>2889</v>
      </c>
    </row>
    <row r="63" spans="2:10" x14ac:dyDescent="0.2">
      <c r="B63" t="s">
        <v>3421</v>
      </c>
      <c r="C63" t="s">
        <v>1375</v>
      </c>
      <c r="D63" t="e">
        <f>_xlfn.XLOOKUP('People to contact'!C63,#REF!,#REF!)</f>
        <v>#REF!</v>
      </c>
      <c r="E63" t="e">
        <f>_xlfn.XLOOKUP('People to contact'!C63,#REF!,#REF!)</f>
        <v>#REF!</v>
      </c>
      <c r="F63" s="29" t="s">
        <v>2889</v>
      </c>
      <c r="H63" s="29" t="s">
        <v>2889</v>
      </c>
    </row>
    <row r="64" spans="2:10" x14ac:dyDescent="0.2">
      <c r="B64" t="s">
        <v>3421</v>
      </c>
      <c r="C64" t="s">
        <v>2761</v>
      </c>
      <c r="D64" t="e">
        <f>_xlfn.XLOOKUP('People to contact'!C64,#REF!,#REF!)</f>
        <v>#REF!</v>
      </c>
      <c r="E64" t="e">
        <f>_xlfn.XLOOKUP('People to contact'!C64,#REF!,#REF!)</f>
        <v>#REF!</v>
      </c>
      <c r="F64" s="29" t="s">
        <v>2889</v>
      </c>
      <c r="H64" s="29" t="s">
        <v>2889</v>
      </c>
    </row>
    <row r="65" spans="2:8" x14ac:dyDescent="0.2">
      <c r="B65" t="s">
        <v>3421</v>
      </c>
      <c r="C65" t="s">
        <v>2792</v>
      </c>
      <c r="D65" t="e">
        <f>_xlfn.XLOOKUP('People to contact'!C65,#REF!,#REF!)</f>
        <v>#REF!</v>
      </c>
      <c r="E65" t="e">
        <f>_xlfn.XLOOKUP('People to contact'!C65,#REF!,#REF!)</f>
        <v>#REF!</v>
      </c>
      <c r="F65" s="29" t="s">
        <v>2889</v>
      </c>
      <c r="H65" s="29" t="s">
        <v>2889</v>
      </c>
    </row>
    <row r="66" spans="2:8" x14ac:dyDescent="0.2">
      <c r="B66" t="s">
        <v>3421</v>
      </c>
      <c r="C66" t="s">
        <v>3295</v>
      </c>
      <c r="D66" t="e">
        <f>_xlfn.XLOOKUP('People to contact'!C66,#REF!,#REF!)</f>
        <v>#REF!</v>
      </c>
      <c r="E66" t="e">
        <f>_xlfn.XLOOKUP('People to contact'!C66,#REF!,#REF!)</f>
        <v>#REF!</v>
      </c>
      <c r="F66" s="29" t="s">
        <v>2889</v>
      </c>
      <c r="H66" s="29" t="s">
        <v>2889</v>
      </c>
    </row>
    <row r="67" spans="2:8" x14ac:dyDescent="0.2">
      <c r="B67" t="s">
        <v>3421</v>
      </c>
      <c r="C67" t="s">
        <v>158</v>
      </c>
      <c r="D67" t="e">
        <f>_xlfn.XLOOKUP('People to contact'!C67,#REF!,#REF!)</f>
        <v>#REF!</v>
      </c>
      <c r="E67" t="e">
        <f>_xlfn.XLOOKUP('People to contact'!C67,#REF!,#REF!)</f>
        <v>#REF!</v>
      </c>
      <c r="F67" s="29" t="s">
        <v>2889</v>
      </c>
      <c r="H67" s="29" t="s">
        <v>2889</v>
      </c>
    </row>
    <row r="68" spans="2:8" x14ac:dyDescent="0.2">
      <c r="B68" t="s">
        <v>3421</v>
      </c>
      <c r="C68" t="s">
        <v>175</v>
      </c>
      <c r="D68" t="e">
        <f>_xlfn.XLOOKUP('People to contact'!C68,#REF!,#REF!)</f>
        <v>#REF!</v>
      </c>
      <c r="E68" t="e">
        <f>_xlfn.XLOOKUP('People to contact'!C68,#REF!,#REF!)</f>
        <v>#REF!</v>
      </c>
      <c r="F68" s="29" t="s">
        <v>2889</v>
      </c>
      <c r="H68" s="29" t="s">
        <v>2889</v>
      </c>
    </row>
    <row r="69" spans="2:8" x14ac:dyDescent="0.2">
      <c r="B69" t="s">
        <v>3421</v>
      </c>
      <c r="C69" t="s">
        <v>590</v>
      </c>
      <c r="D69" t="e">
        <f>_xlfn.XLOOKUP('People to contact'!C69,#REF!,#REF!)</f>
        <v>#REF!</v>
      </c>
      <c r="E69" t="e">
        <f>_xlfn.XLOOKUP('People to contact'!C69,#REF!,#REF!)</f>
        <v>#REF!</v>
      </c>
      <c r="F69" s="29" t="s">
        <v>2889</v>
      </c>
      <c r="H69" s="29" t="s">
        <v>2889</v>
      </c>
    </row>
    <row r="70" spans="2:8" x14ac:dyDescent="0.2">
      <c r="B70" t="s">
        <v>3421</v>
      </c>
      <c r="C70" t="s">
        <v>615</v>
      </c>
      <c r="D70" t="e">
        <f>_xlfn.XLOOKUP('People to contact'!C70,#REF!,#REF!)</f>
        <v>#REF!</v>
      </c>
      <c r="E70" t="e">
        <f>_xlfn.XLOOKUP('People to contact'!C70,#REF!,#REF!)</f>
        <v>#REF!</v>
      </c>
      <c r="F70" s="29" t="s">
        <v>2889</v>
      </c>
      <c r="H70" s="29" t="s">
        <v>2889</v>
      </c>
    </row>
    <row r="71" spans="2:8" x14ac:dyDescent="0.2">
      <c r="B71" t="s">
        <v>3421</v>
      </c>
      <c r="C71" t="s">
        <v>775</v>
      </c>
      <c r="D71" t="e">
        <f>_xlfn.XLOOKUP('People to contact'!C71,#REF!,#REF!)</f>
        <v>#REF!</v>
      </c>
      <c r="E71" t="e">
        <f>_xlfn.XLOOKUP('People to contact'!C71,#REF!,#REF!)</f>
        <v>#REF!</v>
      </c>
      <c r="F71" s="29" t="s">
        <v>2889</v>
      </c>
      <c r="H71" s="29" t="s">
        <v>2889</v>
      </c>
    </row>
    <row r="72" spans="2:8" x14ac:dyDescent="0.2">
      <c r="B72" t="s">
        <v>3421</v>
      </c>
      <c r="C72" t="s">
        <v>941</v>
      </c>
      <c r="D72" t="e">
        <f>_xlfn.XLOOKUP('People to contact'!C72,#REF!,#REF!)</f>
        <v>#REF!</v>
      </c>
      <c r="E72" t="e">
        <f>_xlfn.XLOOKUP('People to contact'!C72,#REF!,#REF!)</f>
        <v>#REF!</v>
      </c>
      <c r="F72" s="29" t="s">
        <v>2889</v>
      </c>
      <c r="H72" s="29" t="s">
        <v>2889</v>
      </c>
    </row>
    <row r="73" spans="2:8" x14ac:dyDescent="0.2">
      <c r="B73" t="s">
        <v>3421</v>
      </c>
      <c r="C73" t="s">
        <v>1088</v>
      </c>
      <c r="D73" t="e">
        <f>_xlfn.XLOOKUP('People to contact'!C73,#REF!,#REF!)</f>
        <v>#REF!</v>
      </c>
      <c r="E73" t="e">
        <f>_xlfn.XLOOKUP('People to contact'!C73,#REF!,#REF!)</f>
        <v>#REF!</v>
      </c>
      <c r="F73" s="29" t="s">
        <v>2889</v>
      </c>
      <c r="H73" s="29" t="s">
        <v>2889</v>
      </c>
    </row>
    <row r="74" spans="2:8" x14ac:dyDescent="0.2">
      <c r="B74" t="s">
        <v>3421</v>
      </c>
      <c r="C74" t="s">
        <v>1506</v>
      </c>
      <c r="D74" t="e">
        <f>_xlfn.XLOOKUP('People to contact'!C74,#REF!,#REF!)</f>
        <v>#REF!</v>
      </c>
      <c r="E74" t="e">
        <f>_xlfn.XLOOKUP('People to contact'!C74,#REF!,#REF!)</f>
        <v>#REF!</v>
      </c>
      <c r="F74" s="29" t="s">
        <v>2889</v>
      </c>
      <c r="H74" s="29" t="s">
        <v>2889</v>
      </c>
    </row>
    <row r="75" spans="2:8" x14ac:dyDescent="0.2">
      <c r="B75" t="s">
        <v>3421</v>
      </c>
      <c r="C75" t="s">
        <v>1842</v>
      </c>
      <c r="D75" t="e">
        <f>_xlfn.XLOOKUP('People to contact'!C75,#REF!,#REF!)</f>
        <v>#REF!</v>
      </c>
      <c r="E75" t="e">
        <f>_xlfn.XLOOKUP('People to contact'!C75,#REF!,#REF!)</f>
        <v>#REF!</v>
      </c>
      <c r="F75" s="29" t="s">
        <v>2889</v>
      </c>
      <c r="H75" s="29" t="s">
        <v>2889</v>
      </c>
    </row>
    <row r="76" spans="2:8" x14ac:dyDescent="0.2">
      <c r="B76" t="s">
        <v>349</v>
      </c>
      <c r="C76" t="s">
        <v>2211</v>
      </c>
      <c r="D76" t="e">
        <f>_xlfn.XLOOKUP('People to contact'!C76,#REF!,#REF!)</f>
        <v>#REF!</v>
      </c>
      <c r="E76" t="e">
        <f>_xlfn.XLOOKUP('People to contact'!C76,#REF!,#REF!)</f>
        <v>#REF!</v>
      </c>
      <c r="F76" s="29" t="s">
        <v>2889</v>
      </c>
      <c r="H76" s="29" t="s">
        <v>2889</v>
      </c>
    </row>
    <row r="77" spans="2:8" x14ac:dyDescent="0.2">
      <c r="D77" t="e">
        <f>_xlfn.XLOOKUP('People to contact'!C77,#REF!,#REF!)</f>
        <v>#REF!</v>
      </c>
      <c r="E77" t="e">
        <f>_xlfn.XLOOKUP('People to contact'!C77,#REF!,#REF!)</f>
        <v>#REF!</v>
      </c>
    </row>
    <row r="78" spans="2:8" x14ac:dyDescent="0.2">
      <c r="D78" t="e">
        <f>_xlfn.XLOOKUP('People to contact'!C78,#REF!,#REF!)</f>
        <v>#REF!</v>
      </c>
      <c r="E78" t="e">
        <f>_xlfn.XLOOKUP('People to contact'!C78,#REF!,#REF!)</f>
        <v>#REF!</v>
      </c>
    </row>
    <row r="79" spans="2:8" x14ac:dyDescent="0.2">
      <c r="D79" t="e">
        <f>_xlfn.XLOOKUP('People to contact'!C79,#REF!,#REF!)</f>
        <v>#REF!</v>
      </c>
      <c r="E79" t="e">
        <f>_xlfn.XLOOKUP('People to contact'!C79,#REF!,#REF!)</f>
        <v>#REF!</v>
      </c>
    </row>
    <row r="80" spans="2:8" x14ac:dyDescent="0.2">
      <c r="D80" t="e">
        <f>_xlfn.XLOOKUP('People to contact'!C80,#REF!,#REF!)</f>
        <v>#REF!</v>
      </c>
      <c r="E80" t="e">
        <f>_xlfn.XLOOKUP('People to contact'!C80,#REF!,#REF!)</f>
        <v>#REF!</v>
      </c>
    </row>
    <row r="81" spans="3:8" x14ac:dyDescent="0.2">
      <c r="D81" t="e">
        <f>_xlfn.XLOOKUP('People to contact'!C81,#REF!,#REF!)</f>
        <v>#REF!</v>
      </c>
      <c r="E81" t="e">
        <f>_xlfn.XLOOKUP('People to contact'!C81,#REF!,#REF!)</f>
        <v>#REF!</v>
      </c>
    </row>
    <row r="82" spans="3:8" x14ac:dyDescent="0.2">
      <c r="D82" t="e">
        <f>_xlfn.XLOOKUP('People to contact'!C82,#REF!,#REF!)</f>
        <v>#REF!</v>
      </c>
      <c r="E82" t="e">
        <f>_xlfn.XLOOKUP('People to contact'!C82,#REF!,#REF!)</f>
        <v>#REF!</v>
      </c>
    </row>
    <row r="83" spans="3:8" x14ac:dyDescent="0.2">
      <c r="D83" t="e">
        <f>_xlfn.XLOOKUP('People to contact'!C83,#REF!,#REF!)</f>
        <v>#REF!</v>
      </c>
      <c r="E83" t="e">
        <f>_xlfn.XLOOKUP('People to contact'!C83,#REF!,#REF!)</f>
        <v>#REF!</v>
      </c>
    </row>
    <row r="84" spans="3:8" x14ac:dyDescent="0.2">
      <c r="D84" t="e">
        <f>_xlfn.XLOOKUP('People to contact'!C84,#REF!,#REF!)</f>
        <v>#REF!</v>
      </c>
      <c r="E84" t="e">
        <f>_xlfn.XLOOKUP('People to contact'!C84,#REF!,#REF!)</f>
        <v>#REF!</v>
      </c>
    </row>
    <row r="85" spans="3:8" x14ac:dyDescent="0.2">
      <c r="D85" t="e">
        <f>_xlfn.XLOOKUP('People to contact'!C85,#REF!,#REF!)</f>
        <v>#REF!</v>
      </c>
      <c r="E85" t="e">
        <f>_xlfn.XLOOKUP('People to contact'!C85,#REF!,#REF!)</f>
        <v>#REF!</v>
      </c>
    </row>
    <row r="86" spans="3:8" x14ac:dyDescent="0.2">
      <c r="C86" t="s">
        <v>913</v>
      </c>
      <c r="D86" t="e">
        <f>_xlfn.XLOOKUP('People to contact'!C86,#REF!,#REF!)</f>
        <v>#REF!</v>
      </c>
      <c r="E86" t="e">
        <f>_xlfn.XLOOKUP('People to contact'!C86,#REF!,#REF!)</f>
        <v>#REF!</v>
      </c>
      <c r="H86" s="29" t="s">
        <v>2889</v>
      </c>
    </row>
    <row r="88" spans="3:8" x14ac:dyDescent="0.2">
      <c r="F88" s="29">
        <f>COUNTA(F3:F75)</f>
        <v>64</v>
      </c>
      <c r="G88" s="29">
        <f>COUNTA(G3:G75)</f>
        <v>9</v>
      </c>
      <c r="H88" s="29">
        <f>COUNTA(H3:H75)</f>
        <v>71</v>
      </c>
    </row>
  </sheetData>
  <autoFilter ref="B2:K86" xr:uid="{21BD000B-4C6D-3943-BFF2-20D1B2E184B0}"/>
  <conditionalFormatting sqref="B2">
    <cfRule type="expression" dxfId="8" priority="1">
      <formula>$H2="x"</formula>
    </cfRule>
    <cfRule type="expression" dxfId="7" priority="2">
      <formula>$I2="x"</formula>
    </cfRule>
    <cfRule type="expression" dxfId="6" priority="3">
      <formula>$J2="x"</formula>
    </cfRule>
  </conditionalFormatting>
  <conditionalFormatting sqref="C2:J75 D76:E86">
    <cfRule type="expression" dxfId="5" priority="11">
      <formula>$I2="x"</formula>
    </cfRule>
    <cfRule type="expression" dxfId="4" priority="12">
      <formula>$J2="x"</formula>
    </cfRule>
  </conditionalFormatting>
  <conditionalFormatting sqref="C2:J3549">
    <cfRule type="expression" dxfId="3" priority="10">
      <formula>$H2="x"</formula>
    </cfRule>
  </conditionalFormatting>
  <conditionalFormatting sqref="K2">
    <cfRule type="expression" dxfId="2" priority="4">
      <formula>$H2="x"</formula>
    </cfRule>
    <cfRule type="expression" dxfId="1" priority="5">
      <formula>$I2="x"</formula>
    </cfRule>
    <cfRule type="expression" dxfId="0" priority="6">
      <formula>$J2="x"</formula>
    </cfRule>
  </conditionalFormatting>
  <hyperlinks>
    <hyperlink ref="E3" r:id="rId1" xr:uid="{6345205D-2B8F-7D4D-A846-72E18261B9FA}"/>
    <hyperlink ref="E4" r:id="rId2" xr:uid="{F880DCAF-C87A-4641-92C6-2EF76692C4FD}"/>
    <hyperlink ref="E7" r:id="rId3" xr:uid="{6ABAF6B4-40CA-2E48-A9F8-16B343F5F906}"/>
    <hyperlink ref="E9" r:id="rId4" xr:uid="{B5D91D85-1AED-AD4E-9704-C37B0DD4EDA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697E8-73F9-2F40-B247-1B3BED5FBB7F}">
  <dimension ref="A1:Z572"/>
  <sheetViews>
    <sheetView topLeftCell="A208" zoomScale="62" workbookViewId="0">
      <selection activeCell="L2" sqref="L2"/>
    </sheetView>
  </sheetViews>
  <sheetFormatPr baseColWidth="10" defaultColWidth="11" defaultRowHeight="16" x14ac:dyDescent="0.2"/>
  <cols>
    <col min="1" max="1" width="50.5" customWidth="1"/>
    <col min="2" max="3" width="0" hidden="1" customWidth="1"/>
    <col min="4" max="4" width="2.5" hidden="1" customWidth="1"/>
    <col min="5" max="5" width="0" hidden="1" customWidth="1"/>
    <col min="6" max="6" width="10.5" hidden="1" customWidth="1"/>
    <col min="7" max="10" width="0" hidden="1" customWidth="1"/>
    <col min="11" max="11" width="8" hidden="1" customWidth="1"/>
    <col min="12" max="12" width="28.5" customWidth="1"/>
    <col min="13" max="13" width="21.5" customWidth="1"/>
    <col min="15" max="15" width="18.5" customWidth="1"/>
    <col min="24" max="24" width="34" customWidth="1"/>
  </cols>
  <sheetData>
    <row r="1" spans="1:26" x14ac:dyDescent="0.2">
      <c r="A1" t="s">
        <v>3431</v>
      </c>
      <c r="B1" t="s">
        <v>2</v>
      </c>
      <c r="C1" t="s">
        <v>3432</v>
      </c>
      <c r="D1" t="s">
        <v>3433</v>
      </c>
      <c r="E1" t="s">
        <v>3434</v>
      </c>
      <c r="F1" t="s">
        <v>3435</v>
      </c>
      <c r="G1" t="s">
        <v>3436</v>
      </c>
      <c r="H1" t="s">
        <v>3437</v>
      </c>
      <c r="I1" t="s">
        <v>8</v>
      </c>
      <c r="J1" t="s">
        <v>3438</v>
      </c>
      <c r="K1" t="s">
        <v>3439</v>
      </c>
      <c r="L1" t="s">
        <v>3440</v>
      </c>
      <c r="M1" t="s">
        <v>3441</v>
      </c>
      <c r="N1" t="s">
        <v>3442</v>
      </c>
      <c r="O1" t="s">
        <v>3443</v>
      </c>
      <c r="P1" t="s">
        <v>3444</v>
      </c>
      <c r="Q1" t="s">
        <v>3445</v>
      </c>
      <c r="R1" t="s">
        <v>3446</v>
      </c>
      <c r="S1" t="s">
        <v>3447</v>
      </c>
      <c r="T1" t="s">
        <v>3448</v>
      </c>
      <c r="U1" t="s">
        <v>3449</v>
      </c>
      <c r="V1" t="s">
        <v>3450</v>
      </c>
      <c r="W1" t="s">
        <v>3451</v>
      </c>
      <c r="X1" t="s">
        <v>3452</v>
      </c>
      <c r="Y1" t="s">
        <v>3453</v>
      </c>
      <c r="Z1" t="s">
        <v>3454</v>
      </c>
    </row>
    <row r="2" spans="1:26" x14ac:dyDescent="0.2">
      <c r="A2" t="s">
        <v>3455</v>
      </c>
      <c r="B2" t="s">
        <v>2046</v>
      </c>
      <c r="D2" t="s">
        <v>3456</v>
      </c>
      <c r="E2" t="s">
        <v>2047</v>
      </c>
      <c r="I2" s="3" t="s">
        <v>3457</v>
      </c>
      <c r="J2" t="s">
        <v>3458</v>
      </c>
      <c r="K2" t="s">
        <v>3459</v>
      </c>
      <c r="L2" s="2">
        <v>39722</v>
      </c>
      <c r="M2" s="2">
        <v>40148</v>
      </c>
      <c r="N2" t="s">
        <v>3460</v>
      </c>
      <c r="O2" t="s">
        <v>2127</v>
      </c>
      <c r="P2" t="s">
        <v>2049</v>
      </c>
      <c r="Q2" t="s">
        <v>3461</v>
      </c>
      <c r="R2" s="2">
        <v>40911</v>
      </c>
      <c r="S2" s="2">
        <v>41279</v>
      </c>
      <c r="U2" t="s">
        <v>309</v>
      </c>
      <c r="X2" t="s">
        <v>51</v>
      </c>
    </row>
    <row r="3" spans="1:26" x14ac:dyDescent="0.2">
      <c r="A3" t="s">
        <v>3462</v>
      </c>
      <c r="B3" t="s">
        <v>3463</v>
      </c>
      <c r="D3" t="s">
        <v>53</v>
      </c>
      <c r="E3" t="s">
        <v>56</v>
      </c>
      <c r="G3" t="s">
        <v>3464</v>
      </c>
      <c r="I3" s="3" t="s">
        <v>3465</v>
      </c>
      <c r="J3" t="s">
        <v>75</v>
      </c>
      <c r="K3" t="s">
        <v>3466</v>
      </c>
      <c r="L3" s="2">
        <v>38626</v>
      </c>
      <c r="M3" s="2">
        <v>40513</v>
      </c>
      <c r="N3" t="s">
        <v>3460</v>
      </c>
      <c r="O3" t="s">
        <v>388</v>
      </c>
      <c r="P3" t="s">
        <v>63</v>
      </c>
      <c r="Q3" t="s">
        <v>3467</v>
      </c>
      <c r="R3" s="2">
        <v>40913</v>
      </c>
      <c r="S3" s="2">
        <v>43470</v>
      </c>
      <c r="U3" t="s">
        <v>67</v>
      </c>
      <c r="V3" s="2">
        <v>38732</v>
      </c>
      <c r="W3" s="2">
        <v>39447</v>
      </c>
      <c r="X3" t="s">
        <v>68</v>
      </c>
    </row>
    <row r="4" spans="1:26" x14ac:dyDescent="0.2">
      <c r="A4" t="s">
        <v>3468</v>
      </c>
      <c r="B4" t="s">
        <v>3463</v>
      </c>
      <c r="D4" t="s">
        <v>233</v>
      </c>
      <c r="E4" t="s">
        <v>234</v>
      </c>
      <c r="G4" t="s">
        <v>3469</v>
      </c>
      <c r="I4" s="3" t="s">
        <v>3470</v>
      </c>
      <c r="J4" t="s">
        <v>236</v>
      </c>
      <c r="K4" t="s">
        <v>3471</v>
      </c>
      <c r="L4" s="2">
        <v>43497</v>
      </c>
      <c r="M4" s="2">
        <v>44896</v>
      </c>
      <c r="N4" t="s">
        <v>3460</v>
      </c>
      <c r="O4" t="s">
        <v>174</v>
      </c>
      <c r="P4" t="s">
        <v>3472</v>
      </c>
      <c r="Q4" t="s">
        <v>3473</v>
      </c>
      <c r="R4" s="2">
        <v>44202</v>
      </c>
      <c r="S4" s="2">
        <v>43474</v>
      </c>
      <c r="T4" t="s">
        <v>3460</v>
      </c>
      <c r="U4" t="s">
        <v>214</v>
      </c>
      <c r="V4" s="2">
        <v>43626</v>
      </c>
      <c r="W4" s="2">
        <v>44743</v>
      </c>
      <c r="X4" t="s">
        <v>239</v>
      </c>
    </row>
    <row r="5" spans="1:26" x14ac:dyDescent="0.2">
      <c r="A5" t="s">
        <v>3474</v>
      </c>
      <c r="B5" t="s">
        <v>3463</v>
      </c>
      <c r="D5" t="s">
        <v>937</v>
      </c>
      <c r="E5" t="s">
        <v>938</v>
      </c>
      <c r="I5" s="3" t="s">
        <v>3475</v>
      </c>
      <c r="J5" t="s">
        <v>152</v>
      </c>
      <c r="K5" t="s">
        <v>3476</v>
      </c>
      <c r="L5" s="2">
        <v>43891</v>
      </c>
      <c r="M5" s="2">
        <v>44470</v>
      </c>
      <c r="N5" t="s">
        <v>3460</v>
      </c>
      <c r="O5" t="s">
        <v>79</v>
      </c>
      <c r="P5" t="s">
        <v>3477</v>
      </c>
      <c r="R5" s="2">
        <v>43472</v>
      </c>
      <c r="S5" s="2">
        <v>43472</v>
      </c>
      <c r="T5" t="s">
        <v>3460</v>
      </c>
      <c r="U5" t="s">
        <v>214</v>
      </c>
      <c r="X5" t="s">
        <v>51</v>
      </c>
    </row>
    <row r="6" spans="1:26" x14ac:dyDescent="0.2">
      <c r="A6" t="s">
        <v>3478</v>
      </c>
      <c r="B6" t="s">
        <v>3463</v>
      </c>
      <c r="D6" t="s">
        <v>3479</v>
      </c>
      <c r="E6" t="s">
        <v>1656</v>
      </c>
      <c r="G6" t="s">
        <v>3480</v>
      </c>
      <c r="I6" s="3" t="s">
        <v>3481</v>
      </c>
      <c r="J6" t="s">
        <v>3482</v>
      </c>
      <c r="L6" s="25"/>
      <c r="M6" s="4"/>
      <c r="N6" t="s">
        <v>3460</v>
      </c>
      <c r="O6" t="s">
        <v>136</v>
      </c>
      <c r="P6" t="s">
        <v>1272</v>
      </c>
      <c r="Q6" t="s">
        <v>3483</v>
      </c>
      <c r="R6" s="2">
        <v>42005</v>
      </c>
      <c r="T6" t="s">
        <v>399</v>
      </c>
      <c r="U6" t="s">
        <v>106</v>
      </c>
      <c r="X6" t="s">
        <v>51</v>
      </c>
    </row>
    <row r="7" spans="1:26" x14ac:dyDescent="0.2">
      <c r="A7" t="s">
        <v>3484</v>
      </c>
      <c r="B7" t="s">
        <v>3463</v>
      </c>
      <c r="D7" t="s">
        <v>1999</v>
      </c>
      <c r="E7" t="s">
        <v>2000</v>
      </c>
      <c r="G7" t="s">
        <v>3485</v>
      </c>
      <c r="I7" s="3" t="s">
        <v>3486</v>
      </c>
      <c r="J7" t="s">
        <v>1124</v>
      </c>
      <c r="K7" t="s">
        <v>3471</v>
      </c>
      <c r="L7" s="2">
        <v>43831</v>
      </c>
      <c r="M7" s="2">
        <v>44593</v>
      </c>
      <c r="N7" t="s">
        <v>3460</v>
      </c>
      <c r="O7" t="s">
        <v>156</v>
      </c>
      <c r="P7" t="s">
        <v>1447</v>
      </c>
      <c r="Q7" t="s">
        <v>3487</v>
      </c>
      <c r="R7" s="2">
        <v>44202</v>
      </c>
      <c r="S7" s="2">
        <v>44205</v>
      </c>
      <c r="T7" t="s">
        <v>3460</v>
      </c>
      <c r="U7" t="s">
        <v>67</v>
      </c>
      <c r="V7" s="2">
        <v>43843</v>
      </c>
      <c r="W7" s="2">
        <v>44627</v>
      </c>
      <c r="X7" t="s">
        <v>68</v>
      </c>
      <c r="Y7" t="s">
        <v>3488</v>
      </c>
      <c r="Z7" t="s">
        <v>3489</v>
      </c>
    </row>
    <row r="8" spans="1:26" x14ac:dyDescent="0.2">
      <c r="A8" t="s">
        <v>3490</v>
      </c>
      <c r="B8" t="s">
        <v>3463</v>
      </c>
      <c r="D8" t="s">
        <v>2338</v>
      </c>
      <c r="E8" t="s">
        <v>2340</v>
      </c>
      <c r="G8" t="s">
        <v>3491</v>
      </c>
      <c r="I8" s="3" t="s">
        <v>3492</v>
      </c>
      <c r="J8" t="s">
        <v>2343</v>
      </c>
      <c r="K8" t="s">
        <v>3493</v>
      </c>
      <c r="L8" s="25">
        <v>33970</v>
      </c>
      <c r="M8" s="25">
        <v>36160</v>
      </c>
      <c r="N8" t="s">
        <v>3494</v>
      </c>
      <c r="O8" t="s">
        <v>79</v>
      </c>
      <c r="P8" t="s">
        <v>3495</v>
      </c>
      <c r="Q8" t="s">
        <v>3493</v>
      </c>
      <c r="R8" s="2">
        <v>44927</v>
      </c>
      <c r="S8" s="2">
        <v>40909</v>
      </c>
      <c r="U8" t="s">
        <v>214</v>
      </c>
      <c r="V8" s="2">
        <v>35104</v>
      </c>
      <c r="W8" s="2">
        <v>35766</v>
      </c>
      <c r="X8" t="s">
        <v>51</v>
      </c>
    </row>
    <row r="9" spans="1:26" x14ac:dyDescent="0.2">
      <c r="A9" t="s">
        <v>3496</v>
      </c>
      <c r="B9" t="s">
        <v>3463</v>
      </c>
      <c r="D9" t="s">
        <v>3285</v>
      </c>
      <c r="E9" t="s">
        <v>3497</v>
      </c>
      <c r="I9" s="3" t="s">
        <v>3498</v>
      </c>
      <c r="J9" t="s">
        <v>3499</v>
      </c>
      <c r="L9" s="2">
        <v>42095</v>
      </c>
      <c r="M9" s="26">
        <v>43009</v>
      </c>
      <c r="N9" t="s">
        <v>3500</v>
      </c>
      <c r="O9" t="s">
        <v>2116</v>
      </c>
      <c r="P9" t="s">
        <v>1447</v>
      </c>
      <c r="Q9" t="s">
        <v>3501</v>
      </c>
      <c r="R9" s="2">
        <v>43472</v>
      </c>
      <c r="S9" s="2">
        <v>44570</v>
      </c>
      <c r="T9" t="s">
        <v>3500</v>
      </c>
      <c r="U9" t="s">
        <v>67</v>
      </c>
      <c r="V9" s="2">
        <v>42159</v>
      </c>
      <c r="W9" s="2">
        <v>43059</v>
      </c>
      <c r="X9" t="s">
        <v>157</v>
      </c>
      <c r="Y9" t="s">
        <v>3502</v>
      </c>
    </row>
    <row r="10" spans="1:26" x14ac:dyDescent="0.2">
      <c r="A10" t="s">
        <v>3503</v>
      </c>
      <c r="B10" t="s">
        <v>3504</v>
      </c>
      <c r="D10" t="s">
        <v>2761</v>
      </c>
      <c r="E10" t="s">
        <v>2762</v>
      </c>
      <c r="I10" s="3" t="s">
        <v>3505</v>
      </c>
      <c r="J10" t="s">
        <v>573</v>
      </c>
      <c r="K10" t="s">
        <v>3506</v>
      </c>
      <c r="L10" s="25">
        <v>38353</v>
      </c>
      <c r="M10" s="25">
        <v>38353</v>
      </c>
      <c r="N10" t="s">
        <v>3460</v>
      </c>
      <c r="O10" t="s">
        <v>67</v>
      </c>
      <c r="P10" t="s">
        <v>2308</v>
      </c>
      <c r="Q10" t="s">
        <v>3501</v>
      </c>
      <c r="R10" s="2">
        <v>44930</v>
      </c>
      <c r="S10" s="2">
        <v>40547</v>
      </c>
      <c r="T10" t="s">
        <v>3460</v>
      </c>
      <c r="U10" t="s">
        <v>602</v>
      </c>
      <c r="V10" s="2">
        <v>36871</v>
      </c>
      <c r="W10" s="2">
        <v>37649</v>
      </c>
      <c r="X10" t="s">
        <v>51</v>
      </c>
    </row>
    <row r="11" spans="1:26" x14ac:dyDescent="0.2">
      <c r="A11" t="s">
        <v>3507</v>
      </c>
      <c r="B11" t="s">
        <v>3508</v>
      </c>
      <c r="D11" t="s">
        <v>301</v>
      </c>
      <c r="E11" t="s">
        <v>303</v>
      </c>
      <c r="I11" s="3" t="s">
        <v>3509</v>
      </c>
      <c r="J11" t="s">
        <v>305</v>
      </c>
      <c r="K11" t="s">
        <v>3510</v>
      </c>
      <c r="L11" s="25"/>
      <c r="M11" s="4"/>
      <c r="N11" t="s">
        <v>3494</v>
      </c>
      <c r="O11" t="s">
        <v>309</v>
      </c>
      <c r="P11" t="s">
        <v>306</v>
      </c>
      <c r="Q11" t="s">
        <v>3501</v>
      </c>
      <c r="R11" s="2">
        <v>44929</v>
      </c>
      <c r="S11" s="2">
        <v>42009</v>
      </c>
      <c r="T11" t="s">
        <v>3494</v>
      </c>
      <c r="U11" t="s">
        <v>309</v>
      </c>
      <c r="V11" s="2">
        <v>37642</v>
      </c>
      <c r="W11" s="2">
        <v>38007</v>
      </c>
      <c r="X11" t="s">
        <v>51</v>
      </c>
    </row>
    <row r="12" spans="1:26" x14ac:dyDescent="0.2">
      <c r="A12" t="s">
        <v>3511</v>
      </c>
      <c r="B12" t="s">
        <v>3508</v>
      </c>
      <c r="D12" t="s">
        <v>1738</v>
      </c>
      <c r="E12" t="s">
        <v>1739</v>
      </c>
      <c r="G12" t="s">
        <v>3512</v>
      </c>
      <c r="L12" s="4"/>
      <c r="M12" s="4"/>
      <c r="V12" s="2">
        <v>35831</v>
      </c>
      <c r="W12" s="2">
        <v>35990</v>
      </c>
      <c r="X12" t="s">
        <v>51</v>
      </c>
    </row>
    <row r="13" spans="1:26" x14ac:dyDescent="0.2">
      <c r="A13" t="s">
        <v>3513</v>
      </c>
      <c r="B13" t="s">
        <v>3508</v>
      </c>
      <c r="D13" t="s">
        <v>2188</v>
      </c>
      <c r="E13" t="s">
        <v>2189</v>
      </c>
      <c r="I13" s="3" t="s">
        <v>3514</v>
      </c>
      <c r="J13" t="s">
        <v>3515</v>
      </c>
      <c r="K13" t="s">
        <v>3516</v>
      </c>
      <c r="L13" s="25">
        <v>34335</v>
      </c>
      <c r="M13" s="25">
        <v>34335</v>
      </c>
      <c r="O13" t="s">
        <v>325</v>
      </c>
      <c r="P13" t="s">
        <v>2192</v>
      </c>
      <c r="Q13" t="s">
        <v>3517</v>
      </c>
      <c r="R13" s="2">
        <v>40544</v>
      </c>
      <c r="T13" t="s">
        <v>1710</v>
      </c>
      <c r="U13" t="s">
        <v>174</v>
      </c>
      <c r="V13" s="2">
        <v>33865</v>
      </c>
      <c r="W13" s="2">
        <v>37315</v>
      </c>
      <c r="X13" t="s">
        <v>51</v>
      </c>
    </row>
    <row r="14" spans="1:26" x14ac:dyDescent="0.2">
      <c r="A14" t="s">
        <v>3518</v>
      </c>
      <c r="B14" t="s">
        <v>3508</v>
      </c>
      <c r="D14" t="s">
        <v>2657</v>
      </c>
      <c r="G14" t="s">
        <v>3519</v>
      </c>
      <c r="I14" s="3" t="s">
        <v>3520</v>
      </c>
      <c r="J14" t="s">
        <v>2660</v>
      </c>
      <c r="K14" t="s">
        <v>3521</v>
      </c>
      <c r="L14" s="2">
        <v>39142</v>
      </c>
      <c r="M14" s="2">
        <v>40513</v>
      </c>
      <c r="N14" t="s">
        <v>3460</v>
      </c>
      <c r="P14" t="s">
        <v>3522</v>
      </c>
      <c r="Q14" t="s">
        <v>3523</v>
      </c>
      <c r="R14" s="2">
        <v>44562</v>
      </c>
      <c r="S14" s="2">
        <v>44927</v>
      </c>
      <c r="T14" t="s">
        <v>910</v>
      </c>
      <c r="U14" t="s">
        <v>873</v>
      </c>
      <c r="V14" s="2">
        <v>39329</v>
      </c>
      <c r="W14" s="2">
        <v>40513</v>
      </c>
      <c r="X14" t="s">
        <v>51</v>
      </c>
    </row>
    <row r="15" spans="1:26" x14ac:dyDescent="0.2">
      <c r="A15" t="s">
        <v>3524</v>
      </c>
      <c r="B15" t="s">
        <v>3508</v>
      </c>
      <c r="D15" t="s">
        <v>3342</v>
      </c>
      <c r="E15" t="s">
        <v>3343</v>
      </c>
      <c r="G15" t="s">
        <v>3525</v>
      </c>
      <c r="I15" s="3" t="s">
        <v>3526</v>
      </c>
      <c r="J15" t="s">
        <v>3345</v>
      </c>
      <c r="K15" t="s">
        <v>3527</v>
      </c>
      <c r="L15" s="25">
        <v>35065</v>
      </c>
      <c r="M15" s="25">
        <v>37256</v>
      </c>
      <c r="N15" t="s">
        <v>3460</v>
      </c>
      <c r="O15" t="s">
        <v>214</v>
      </c>
      <c r="P15" t="s">
        <v>3346</v>
      </c>
      <c r="Q15" t="s">
        <v>153</v>
      </c>
      <c r="R15" s="2">
        <v>40548</v>
      </c>
      <c r="S15" s="2">
        <v>43476</v>
      </c>
      <c r="T15" t="s">
        <v>3460</v>
      </c>
      <c r="U15" t="s">
        <v>44</v>
      </c>
      <c r="V15" s="2">
        <v>35831</v>
      </c>
      <c r="W15" s="2">
        <v>37298</v>
      </c>
      <c r="X15" t="s">
        <v>51</v>
      </c>
    </row>
    <row r="16" spans="1:26" x14ac:dyDescent="0.2">
      <c r="A16" t="s">
        <v>3528</v>
      </c>
      <c r="B16" t="s">
        <v>138</v>
      </c>
      <c r="D16" t="s">
        <v>137</v>
      </c>
      <c r="G16" t="s">
        <v>3529</v>
      </c>
      <c r="I16" s="3" t="s">
        <v>3530</v>
      </c>
      <c r="J16" t="s">
        <v>3531</v>
      </c>
      <c r="K16" t="s">
        <v>3532</v>
      </c>
      <c r="L16" s="25">
        <v>32874</v>
      </c>
      <c r="M16" s="25">
        <v>35064</v>
      </c>
      <c r="N16" t="s">
        <v>146</v>
      </c>
      <c r="O16" t="s">
        <v>339</v>
      </c>
      <c r="Q16" t="s">
        <v>3533</v>
      </c>
      <c r="R16" s="2">
        <v>44564</v>
      </c>
      <c r="S16" s="2">
        <v>44197</v>
      </c>
      <c r="T16" t="s">
        <v>143</v>
      </c>
      <c r="V16" s="2">
        <v>32464</v>
      </c>
      <c r="W16" s="2">
        <v>34233</v>
      </c>
      <c r="X16" t="s">
        <v>51</v>
      </c>
    </row>
    <row r="17" spans="1:24" x14ac:dyDescent="0.2">
      <c r="A17" t="s">
        <v>3534</v>
      </c>
      <c r="B17" t="s">
        <v>3535</v>
      </c>
      <c r="D17" t="s">
        <v>467</v>
      </c>
      <c r="V17" s="2">
        <v>32464</v>
      </c>
      <c r="W17" s="2">
        <v>33238</v>
      </c>
      <c r="X17" t="s">
        <v>51</v>
      </c>
    </row>
    <row r="18" spans="1:24" x14ac:dyDescent="0.2">
      <c r="A18" t="s">
        <v>3536</v>
      </c>
      <c r="B18" t="s">
        <v>3535</v>
      </c>
      <c r="D18" t="s">
        <v>678</v>
      </c>
      <c r="V18" s="2">
        <v>33419</v>
      </c>
      <c r="W18" s="2">
        <v>34466</v>
      </c>
      <c r="X18" t="s">
        <v>51</v>
      </c>
    </row>
    <row r="19" spans="1:24" x14ac:dyDescent="0.2">
      <c r="A19" t="s">
        <v>3537</v>
      </c>
      <c r="B19" t="s">
        <v>138</v>
      </c>
      <c r="D19" t="s">
        <v>715</v>
      </c>
      <c r="E19" t="s">
        <v>716</v>
      </c>
      <c r="G19" t="s">
        <v>3538</v>
      </c>
      <c r="I19" s="3" t="s">
        <v>3539</v>
      </c>
      <c r="J19" t="s">
        <v>355</v>
      </c>
      <c r="K19" t="s">
        <v>212</v>
      </c>
      <c r="L19" s="2">
        <v>42430</v>
      </c>
      <c r="M19" s="2">
        <v>42795</v>
      </c>
      <c r="N19" t="s">
        <v>3494</v>
      </c>
      <c r="O19" t="s">
        <v>79</v>
      </c>
      <c r="P19" t="s">
        <v>3540</v>
      </c>
      <c r="Q19" t="s">
        <v>40</v>
      </c>
      <c r="R19" s="2">
        <v>43471</v>
      </c>
      <c r="S19" s="2">
        <v>44197</v>
      </c>
      <c r="T19" t="s">
        <v>3494</v>
      </c>
      <c r="U19" t="s">
        <v>79</v>
      </c>
      <c r="V19" s="2">
        <v>42513</v>
      </c>
      <c r="W19" s="2">
        <v>42790</v>
      </c>
      <c r="X19" t="s">
        <v>51</v>
      </c>
    </row>
    <row r="20" spans="1:24" x14ac:dyDescent="0.2">
      <c r="A20" t="s">
        <v>3541</v>
      </c>
      <c r="B20" t="s">
        <v>3535</v>
      </c>
      <c r="D20" t="s">
        <v>1227</v>
      </c>
      <c r="E20" t="s">
        <v>3542</v>
      </c>
      <c r="I20" s="3" t="s">
        <v>3543</v>
      </c>
      <c r="J20" t="s">
        <v>727</v>
      </c>
      <c r="K20" t="s">
        <v>3544</v>
      </c>
      <c r="L20" s="2">
        <v>42614</v>
      </c>
      <c r="M20" s="2">
        <v>43466</v>
      </c>
      <c r="N20" t="s">
        <v>3460</v>
      </c>
      <c r="O20" t="s">
        <v>214</v>
      </c>
      <c r="P20" t="s">
        <v>1705</v>
      </c>
      <c r="Q20" t="s">
        <v>3545</v>
      </c>
      <c r="R20" s="2">
        <v>43106</v>
      </c>
      <c r="S20" s="2">
        <v>43109</v>
      </c>
      <c r="T20" t="s">
        <v>3546</v>
      </c>
      <c r="U20" t="s">
        <v>980</v>
      </c>
      <c r="V20" s="2">
        <v>42751</v>
      </c>
      <c r="W20" s="2">
        <v>43472</v>
      </c>
      <c r="X20" t="s">
        <v>157</v>
      </c>
    </row>
    <row r="21" spans="1:24" x14ac:dyDescent="0.2">
      <c r="A21" t="s">
        <v>3547</v>
      </c>
      <c r="B21" t="s">
        <v>3535</v>
      </c>
      <c r="D21" t="s">
        <v>1611</v>
      </c>
      <c r="E21" t="s">
        <v>1612</v>
      </c>
      <c r="I21" s="3" t="s">
        <v>3548</v>
      </c>
      <c r="J21" t="s">
        <v>1614</v>
      </c>
      <c r="K21" t="s">
        <v>3501</v>
      </c>
      <c r="L21" s="2">
        <v>42614</v>
      </c>
      <c r="M21" s="2">
        <v>43497</v>
      </c>
      <c r="N21" t="s">
        <v>60</v>
      </c>
      <c r="O21" t="s">
        <v>67</v>
      </c>
      <c r="P21" t="s">
        <v>3549</v>
      </c>
      <c r="Q21" t="s">
        <v>40</v>
      </c>
      <c r="R21" s="2">
        <v>44570</v>
      </c>
      <c r="S21" s="2">
        <v>44203</v>
      </c>
      <c r="T21" t="s">
        <v>3460</v>
      </c>
      <c r="X21" t="s">
        <v>453</v>
      </c>
    </row>
    <row r="22" spans="1:24" x14ac:dyDescent="0.2">
      <c r="A22" t="s">
        <v>3550</v>
      </c>
      <c r="B22" t="s">
        <v>3535</v>
      </c>
      <c r="D22" t="s">
        <v>1711</v>
      </c>
      <c r="I22" s="3" t="s">
        <v>3551</v>
      </c>
      <c r="J22" t="s">
        <v>1187</v>
      </c>
      <c r="K22" t="s">
        <v>3552</v>
      </c>
      <c r="L22" s="27">
        <v>44932</v>
      </c>
      <c r="M22" s="27">
        <v>42376</v>
      </c>
      <c r="N22" t="s">
        <v>3494</v>
      </c>
      <c r="O22" t="s">
        <v>156</v>
      </c>
      <c r="V22" s="2">
        <v>37013</v>
      </c>
      <c r="W22" s="2">
        <v>37298</v>
      </c>
      <c r="X22" t="s">
        <v>51</v>
      </c>
    </row>
    <row r="23" spans="1:24" x14ac:dyDescent="0.2">
      <c r="A23" t="s">
        <v>3553</v>
      </c>
      <c r="B23" t="s">
        <v>138</v>
      </c>
      <c r="D23" t="s">
        <v>2375</v>
      </c>
      <c r="E23" t="s">
        <v>2377</v>
      </c>
      <c r="I23" s="3" t="s">
        <v>3554</v>
      </c>
      <c r="J23" t="s">
        <v>75</v>
      </c>
      <c r="K23" t="s">
        <v>3555</v>
      </c>
      <c r="L23" s="2">
        <v>43709</v>
      </c>
      <c r="M23" s="28">
        <v>44573</v>
      </c>
      <c r="N23" t="s">
        <v>3500</v>
      </c>
      <c r="O23" t="s">
        <v>388</v>
      </c>
      <c r="P23" t="s">
        <v>844</v>
      </c>
      <c r="Q23" t="s">
        <v>3556</v>
      </c>
      <c r="R23" s="2">
        <v>44197</v>
      </c>
      <c r="S23" s="2">
        <v>44565</v>
      </c>
      <c r="T23" t="s">
        <v>3460</v>
      </c>
      <c r="U23" t="s">
        <v>309</v>
      </c>
      <c r="V23" s="2">
        <v>43843</v>
      </c>
      <c r="X23" t="s">
        <v>51</v>
      </c>
    </row>
    <row r="24" spans="1:24" x14ac:dyDescent="0.2">
      <c r="A24" t="s">
        <v>3557</v>
      </c>
      <c r="B24" t="s">
        <v>3535</v>
      </c>
      <c r="D24" t="s">
        <v>2792</v>
      </c>
      <c r="E24" t="s">
        <v>2793</v>
      </c>
      <c r="G24" t="s">
        <v>3558</v>
      </c>
      <c r="H24" t="s">
        <v>3559</v>
      </c>
      <c r="I24" s="3" t="s">
        <v>3560</v>
      </c>
      <c r="J24" t="s">
        <v>3561</v>
      </c>
      <c r="K24" t="s">
        <v>453</v>
      </c>
      <c r="L24" s="25">
        <v>38718</v>
      </c>
      <c r="M24" s="25">
        <v>39082</v>
      </c>
      <c r="N24" t="s">
        <v>2796</v>
      </c>
      <c r="O24" t="s">
        <v>67</v>
      </c>
      <c r="P24" t="s">
        <v>163</v>
      </c>
      <c r="R24" s="2">
        <v>40916</v>
      </c>
      <c r="S24" s="2">
        <v>42011</v>
      </c>
      <c r="T24" t="s">
        <v>2799</v>
      </c>
      <c r="U24" t="s">
        <v>67</v>
      </c>
      <c r="V24" s="2">
        <v>38356</v>
      </c>
      <c r="W24" s="2">
        <v>39083</v>
      </c>
      <c r="X24" t="s">
        <v>51</v>
      </c>
    </row>
    <row r="25" spans="1:24" x14ac:dyDescent="0.2">
      <c r="A25" t="s">
        <v>3562</v>
      </c>
      <c r="B25" t="s">
        <v>3535</v>
      </c>
      <c r="D25" t="s">
        <v>3233</v>
      </c>
      <c r="E25" t="s">
        <v>3234</v>
      </c>
      <c r="I25" s="3" t="s">
        <v>3563</v>
      </c>
      <c r="J25" t="s">
        <v>3564</v>
      </c>
      <c r="K25" t="s">
        <v>3565</v>
      </c>
      <c r="L25" s="2">
        <v>44197</v>
      </c>
      <c r="M25" s="2">
        <v>44805</v>
      </c>
      <c r="N25" t="s">
        <v>3566</v>
      </c>
      <c r="P25" t="s">
        <v>3567</v>
      </c>
      <c r="Q25" t="s">
        <v>3568</v>
      </c>
      <c r="R25" s="2">
        <v>44563</v>
      </c>
      <c r="S25" s="2">
        <v>44928</v>
      </c>
      <c r="T25" t="s">
        <v>3460</v>
      </c>
      <c r="U25" t="s">
        <v>256</v>
      </c>
      <c r="X25" t="s">
        <v>51</v>
      </c>
    </row>
    <row r="26" spans="1:24" x14ac:dyDescent="0.2">
      <c r="A26" t="s">
        <v>3569</v>
      </c>
      <c r="B26" t="s">
        <v>72</v>
      </c>
      <c r="D26" t="s">
        <v>71</v>
      </c>
      <c r="I26" s="3" t="s">
        <v>3570</v>
      </c>
      <c r="J26" t="s">
        <v>75</v>
      </c>
      <c r="K26" t="s">
        <v>3571</v>
      </c>
      <c r="L26" s="25">
        <v>42979</v>
      </c>
      <c r="M26" s="25">
        <v>44835</v>
      </c>
      <c r="N26" t="s">
        <v>3500</v>
      </c>
      <c r="O26" t="s">
        <v>388</v>
      </c>
      <c r="P26" t="s">
        <v>3572</v>
      </c>
      <c r="Q26" t="s">
        <v>3568</v>
      </c>
      <c r="R26" s="2">
        <v>44202</v>
      </c>
      <c r="S26" s="2">
        <v>44197</v>
      </c>
      <c r="T26" t="s">
        <v>3460</v>
      </c>
      <c r="U26" t="s">
        <v>79</v>
      </c>
      <c r="V26" s="2">
        <v>43255</v>
      </c>
      <c r="X26" t="s">
        <v>51</v>
      </c>
    </row>
    <row r="27" spans="1:24" x14ac:dyDescent="0.2">
      <c r="A27" t="s">
        <v>3573</v>
      </c>
      <c r="B27" t="s">
        <v>72</v>
      </c>
      <c r="D27" t="s">
        <v>127</v>
      </c>
      <c r="E27" t="s">
        <v>128</v>
      </c>
      <c r="I27" s="3" t="s">
        <v>3574</v>
      </c>
      <c r="J27" t="s">
        <v>130</v>
      </c>
      <c r="K27" t="s">
        <v>3575</v>
      </c>
      <c r="L27" s="2">
        <v>43252</v>
      </c>
      <c r="M27" s="2">
        <v>43862</v>
      </c>
      <c r="N27" t="s">
        <v>3460</v>
      </c>
      <c r="O27" t="s">
        <v>136</v>
      </c>
      <c r="P27" t="s">
        <v>3576</v>
      </c>
      <c r="Q27" t="s">
        <v>3577</v>
      </c>
      <c r="R27" s="2">
        <v>44563</v>
      </c>
      <c r="S27" s="2">
        <v>44568</v>
      </c>
      <c r="T27" t="s">
        <v>3460</v>
      </c>
      <c r="U27" t="s">
        <v>136</v>
      </c>
      <c r="V27" s="2">
        <v>43255</v>
      </c>
      <c r="W27" s="2">
        <v>43871</v>
      </c>
      <c r="X27" t="s">
        <v>51</v>
      </c>
    </row>
    <row r="28" spans="1:24" x14ac:dyDescent="0.2">
      <c r="A28" t="s">
        <v>3578</v>
      </c>
      <c r="B28" t="s">
        <v>72</v>
      </c>
      <c r="D28" t="s">
        <v>1356</v>
      </c>
      <c r="G28" t="s">
        <v>3579</v>
      </c>
      <c r="I28" s="3" t="s">
        <v>3580</v>
      </c>
      <c r="J28" t="s">
        <v>1359</v>
      </c>
      <c r="K28" t="s">
        <v>3581</v>
      </c>
      <c r="L28" s="25">
        <v>33970</v>
      </c>
      <c r="M28" s="25">
        <v>36160</v>
      </c>
      <c r="O28" t="s">
        <v>136</v>
      </c>
      <c r="P28" t="s">
        <v>3582</v>
      </c>
      <c r="Q28" t="s">
        <v>3581</v>
      </c>
      <c r="R28" s="2">
        <v>43102</v>
      </c>
      <c r="S28" s="2">
        <v>43473</v>
      </c>
      <c r="T28" t="s">
        <v>3460</v>
      </c>
      <c r="U28" t="s">
        <v>136</v>
      </c>
      <c r="V28" s="2">
        <v>35831</v>
      </c>
      <c r="W28" s="2">
        <v>36121</v>
      </c>
      <c r="X28" t="s">
        <v>51</v>
      </c>
    </row>
    <row r="29" spans="1:24" x14ac:dyDescent="0.2">
      <c r="A29" t="s">
        <v>3583</v>
      </c>
      <c r="B29" t="s">
        <v>72</v>
      </c>
      <c r="D29" t="s">
        <v>1621</v>
      </c>
      <c r="E29" t="s">
        <v>3584</v>
      </c>
      <c r="I29" s="3" t="s">
        <v>3585</v>
      </c>
      <c r="J29" t="s">
        <v>1626</v>
      </c>
      <c r="K29" t="s">
        <v>3586</v>
      </c>
      <c r="L29" s="2">
        <v>41275</v>
      </c>
      <c r="M29" s="2">
        <v>42401</v>
      </c>
      <c r="N29" t="s">
        <v>3460</v>
      </c>
      <c r="O29" t="s">
        <v>2507</v>
      </c>
      <c r="P29" t="s">
        <v>163</v>
      </c>
      <c r="Q29" t="s">
        <v>212</v>
      </c>
      <c r="R29" s="2">
        <v>44197</v>
      </c>
      <c r="S29" s="2">
        <v>44208</v>
      </c>
      <c r="T29" t="s">
        <v>3460</v>
      </c>
      <c r="U29" t="s">
        <v>67</v>
      </c>
      <c r="V29" s="2">
        <v>41310</v>
      </c>
      <c r="W29" s="2">
        <v>42499</v>
      </c>
      <c r="X29" t="s">
        <v>425</v>
      </c>
    </row>
    <row r="30" spans="1:24" x14ac:dyDescent="0.2">
      <c r="A30" t="s">
        <v>3587</v>
      </c>
      <c r="B30" t="s">
        <v>693</v>
      </c>
      <c r="D30" t="s">
        <v>692</v>
      </c>
      <c r="E30" t="s">
        <v>694</v>
      </c>
      <c r="I30" s="3" t="s">
        <v>3588</v>
      </c>
      <c r="J30" t="s">
        <v>696</v>
      </c>
      <c r="K30" t="s">
        <v>3589</v>
      </c>
      <c r="L30" s="25">
        <v>33604</v>
      </c>
      <c r="M30" s="25">
        <v>36160</v>
      </c>
      <c r="N30" t="s">
        <v>3460</v>
      </c>
      <c r="O30" t="s">
        <v>388</v>
      </c>
      <c r="P30" t="s">
        <v>171</v>
      </c>
      <c r="Q30" t="s">
        <v>3501</v>
      </c>
      <c r="S30" t="s">
        <v>3590</v>
      </c>
      <c r="U30" t="s">
        <v>67</v>
      </c>
      <c r="V30" s="2">
        <v>35488</v>
      </c>
      <c r="W30" s="2">
        <v>35766</v>
      </c>
      <c r="X30" t="s">
        <v>51</v>
      </c>
    </row>
    <row r="31" spans="1:24" x14ac:dyDescent="0.2">
      <c r="A31" t="s">
        <v>3591</v>
      </c>
      <c r="B31" t="s">
        <v>693</v>
      </c>
      <c r="C31" t="s">
        <v>1585</v>
      </c>
      <c r="D31" t="s">
        <v>1584</v>
      </c>
      <c r="E31" t="s">
        <v>1586</v>
      </c>
      <c r="I31" s="3" t="s">
        <v>3592</v>
      </c>
      <c r="J31" t="s">
        <v>3593</v>
      </c>
      <c r="K31" t="s">
        <v>3594</v>
      </c>
      <c r="L31" s="25">
        <v>34700</v>
      </c>
      <c r="M31" s="25">
        <v>36891</v>
      </c>
      <c r="N31" t="s">
        <v>3460</v>
      </c>
      <c r="O31" t="s">
        <v>388</v>
      </c>
      <c r="P31" t="s">
        <v>1589</v>
      </c>
      <c r="Q31" t="s">
        <v>64</v>
      </c>
      <c r="R31" s="2">
        <v>43101</v>
      </c>
      <c r="U31" t="s">
        <v>309</v>
      </c>
      <c r="V31" s="2">
        <v>35831</v>
      </c>
      <c r="W31" s="2">
        <v>37298</v>
      </c>
      <c r="X31" t="s">
        <v>51</v>
      </c>
    </row>
    <row r="32" spans="1:24" x14ac:dyDescent="0.2">
      <c r="A32" t="s">
        <v>3595</v>
      </c>
      <c r="B32" t="s">
        <v>693</v>
      </c>
      <c r="D32" t="s">
        <v>2136</v>
      </c>
      <c r="G32" t="s">
        <v>3596</v>
      </c>
      <c r="V32" s="2">
        <v>35831</v>
      </c>
      <c r="W32" s="2">
        <v>36121</v>
      </c>
      <c r="X32" t="s">
        <v>51</v>
      </c>
    </row>
    <row r="33" spans="1:24" x14ac:dyDescent="0.2">
      <c r="A33" t="s">
        <v>3597</v>
      </c>
      <c r="B33" t="s">
        <v>942</v>
      </c>
      <c r="D33" t="s">
        <v>941</v>
      </c>
      <c r="E33" t="s">
        <v>943</v>
      </c>
      <c r="I33" s="3" t="s">
        <v>3598</v>
      </c>
      <c r="J33" t="s">
        <v>945</v>
      </c>
      <c r="K33" t="s">
        <v>2355</v>
      </c>
      <c r="L33" s="25">
        <v>32509</v>
      </c>
      <c r="M33" s="25">
        <v>34699</v>
      </c>
      <c r="N33" t="s">
        <v>910</v>
      </c>
      <c r="O33" t="s">
        <v>156</v>
      </c>
      <c r="P33" t="s">
        <v>3599</v>
      </c>
      <c r="Q33" t="s">
        <v>3600</v>
      </c>
      <c r="R33" s="2">
        <v>43471</v>
      </c>
      <c r="S33" s="2">
        <v>44562</v>
      </c>
      <c r="T33" t="s">
        <v>910</v>
      </c>
      <c r="U33" t="s">
        <v>156</v>
      </c>
      <c r="V33" s="2">
        <v>34236</v>
      </c>
      <c r="W33" s="2">
        <v>34347</v>
      </c>
      <c r="X33" t="s">
        <v>51</v>
      </c>
    </row>
    <row r="34" spans="1:24" x14ac:dyDescent="0.2">
      <c r="A34" t="s">
        <v>3601</v>
      </c>
      <c r="B34" t="s">
        <v>3602</v>
      </c>
      <c r="D34" t="s">
        <v>1506</v>
      </c>
      <c r="G34" t="s">
        <v>3603</v>
      </c>
      <c r="I34" s="3" t="s">
        <v>3604</v>
      </c>
      <c r="J34" t="s">
        <v>3605</v>
      </c>
      <c r="K34" t="s">
        <v>3606</v>
      </c>
      <c r="L34" s="2">
        <v>36161</v>
      </c>
      <c r="M34" s="2">
        <v>36526</v>
      </c>
      <c r="N34" t="s">
        <v>3460</v>
      </c>
      <c r="P34" t="s">
        <v>3607</v>
      </c>
      <c r="Q34" t="s">
        <v>3493</v>
      </c>
      <c r="R34" s="2">
        <v>42744</v>
      </c>
      <c r="T34" t="s">
        <v>3460</v>
      </c>
      <c r="U34" t="s">
        <v>67</v>
      </c>
      <c r="V34" s="2">
        <v>36280</v>
      </c>
      <c r="W34" s="2">
        <v>36584</v>
      </c>
      <c r="X34" t="s">
        <v>51</v>
      </c>
    </row>
    <row r="35" spans="1:24" x14ac:dyDescent="0.2">
      <c r="A35" t="s">
        <v>3608</v>
      </c>
      <c r="B35" t="s">
        <v>3379</v>
      </c>
      <c r="D35" t="s">
        <v>3378</v>
      </c>
      <c r="E35" t="s">
        <v>3380</v>
      </c>
      <c r="I35" s="3" t="s">
        <v>3609</v>
      </c>
      <c r="J35" t="s">
        <v>163</v>
      </c>
      <c r="K35" t="s">
        <v>3610</v>
      </c>
      <c r="L35" s="2">
        <v>43221</v>
      </c>
      <c r="M35" s="2">
        <v>43739</v>
      </c>
      <c r="N35" t="s">
        <v>3460</v>
      </c>
      <c r="O35" t="s">
        <v>67</v>
      </c>
      <c r="P35" t="s">
        <v>1093</v>
      </c>
      <c r="Q35" t="s">
        <v>3611</v>
      </c>
      <c r="R35" s="2">
        <v>44198</v>
      </c>
      <c r="S35" s="2">
        <v>44570</v>
      </c>
      <c r="T35" t="s">
        <v>3460</v>
      </c>
      <c r="U35" t="s">
        <v>309</v>
      </c>
      <c r="V35" s="2">
        <v>43255</v>
      </c>
      <c r="W35" s="2">
        <v>43774</v>
      </c>
      <c r="X35" t="s">
        <v>51</v>
      </c>
    </row>
    <row r="36" spans="1:24" x14ac:dyDescent="0.2">
      <c r="A36" t="s">
        <v>3612</v>
      </c>
      <c r="B36" t="s">
        <v>597</v>
      </c>
      <c r="D36" t="s">
        <v>596</v>
      </c>
      <c r="E36" t="s">
        <v>598</v>
      </c>
      <c r="G36" t="s">
        <v>3613</v>
      </c>
      <c r="I36" s="3" t="s">
        <v>3614</v>
      </c>
      <c r="J36" t="s">
        <v>3615</v>
      </c>
      <c r="K36" t="s">
        <v>3589</v>
      </c>
      <c r="L36" s="2">
        <v>36161</v>
      </c>
      <c r="M36" s="2">
        <v>36861</v>
      </c>
      <c r="N36" t="s">
        <v>3460</v>
      </c>
      <c r="O36" t="s">
        <v>309</v>
      </c>
      <c r="P36" t="s">
        <v>600</v>
      </c>
      <c r="Q36" t="s">
        <v>3616</v>
      </c>
      <c r="R36" s="2">
        <v>44930</v>
      </c>
      <c r="T36" t="s">
        <v>3460</v>
      </c>
      <c r="U36" t="s">
        <v>602</v>
      </c>
      <c r="V36" s="2">
        <v>36280</v>
      </c>
      <c r="W36" s="2">
        <v>37649</v>
      </c>
      <c r="X36" t="s">
        <v>453</v>
      </c>
    </row>
    <row r="37" spans="1:24" x14ac:dyDescent="0.2">
      <c r="A37" t="s">
        <v>3617</v>
      </c>
      <c r="B37" t="s">
        <v>1983</v>
      </c>
      <c r="D37" t="s">
        <v>1982</v>
      </c>
      <c r="E37" t="s">
        <v>1984</v>
      </c>
      <c r="I37" s="3" t="s">
        <v>3618</v>
      </c>
      <c r="J37" t="s">
        <v>3619</v>
      </c>
      <c r="K37" t="s">
        <v>3555</v>
      </c>
      <c r="L37" s="2">
        <v>43374</v>
      </c>
      <c r="M37" s="2">
        <v>44713</v>
      </c>
      <c r="N37" t="s">
        <v>3460</v>
      </c>
      <c r="O37" t="s">
        <v>67</v>
      </c>
      <c r="P37" t="s">
        <v>230</v>
      </c>
      <c r="Q37" t="s">
        <v>3555</v>
      </c>
      <c r="R37" s="2">
        <v>44566</v>
      </c>
      <c r="S37" s="2">
        <v>44562</v>
      </c>
      <c r="T37" t="s">
        <v>3460</v>
      </c>
      <c r="U37" t="s">
        <v>156</v>
      </c>
      <c r="V37" s="2">
        <v>43480</v>
      </c>
      <c r="X37" t="s">
        <v>51</v>
      </c>
    </row>
    <row r="38" spans="1:24" x14ac:dyDescent="0.2">
      <c r="A38" t="s">
        <v>3620</v>
      </c>
      <c r="B38" t="s">
        <v>1753</v>
      </c>
      <c r="D38" t="s">
        <v>1752</v>
      </c>
      <c r="E38" t="s">
        <v>1754</v>
      </c>
      <c r="I38" s="3" t="s">
        <v>3621</v>
      </c>
      <c r="J38" t="s">
        <v>1756</v>
      </c>
      <c r="K38" t="s">
        <v>3589</v>
      </c>
      <c r="L38" s="2">
        <v>33970</v>
      </c>
      <c r="M38" s="2">
        <v>35064</v>
      </c>
      <c r="N38" t="s">
        <v>190</v>
      </c>
      <c r="P38" t="s">
        <v>1757</v>
      </c>
      <c r="Q38" t="s">
        <v>3622</v>
      </c>
      <c r="R38" s="2">
        <v>43472</v>
      </c>
      <c r="S38" s="2">
        <v>44927</v>
      </c>
      <c r="T38" t="s">
        <v>190</v>
      </c>
      <c r="U38" t="s">
        <v>156</v>
      </c>
      <c r="V38" s="2">
        <v>34236</v>
      </c>
      <c r="W38" s="2">
        <v>34824</v>
      </c>
      <c r="X38" t="s">
        <v>290</v>
      </c>
    </row>
    <row r="39" spans="1:24" x14ac:dyDescent="0.2">
      <c r="A39" t="s">
        <v>3623</v>
      </c>
      <c r="B39" t="s">
        <v>365</v>
      </c>
      <c r="C39" t="s">
        <v>3624</v>
      </c>
      <c r="D39" t="s">
        <v>426</v>
      </c>
      <c r="E39" t="s">
        <v>428</v>
      </c>
      <c r="I39" s="3" t="s">
        <v>3625</v>
      </c>
      <c r="J39" t="s">
        <v>188</v>
      </c>
      <c r="K39" t="s">
        <v>3626</v>
      </c>
      <c r="L39" s="2">
        <v>41548</v>
      </c>
      <c r="M39" s="2">
        <v>42278</v>
      </c>
      <c r="N39" t="s">
        <v>3494</v>
      </c>
      <c r="O39" t="s">
        <v>156</v>
      </c>
      <c r="P39" t="s">
        <v>430</v>
      </c>
      <c r="Q39" t="s">
        <v>3627</v>
      </c>
      <c r="R39" s="2">
        <v>42741</v>
      </c>
      <c r="S39" s="2">
        <v>43105</v>
      </c>
      <c r="T39" t="s">
        <v>3494</v>
      </c>
      <c r="U39" t="s">
        <v>309</v>
      </c>
      <c r="V39" s="2">
        <v>41666</v>
      </c>
      <c r="W39" s="2">
        <v>42268</v>
      </c>
      <c r="X39" t="s">
        <v>239</v>
      </c>
    </row>
    <row r="40" spans="1:24" x14ac:dyDescent="0.2">
      <c r="A40" t="s">
        <v>3628</v>
      </c>
      <c r="B40" t="s">
        <v>3629</v>
      </c>
      <c r="D40" t="s">
        <v>502</v>
      </c>
      <c r="E40" t="s">
        <v>503</v>
      </c>
      <c r="G40" t="s">
        <v>3630</v>
      </c>
      <c r="I40" s="3" t="s">
        <v>3631</v>
      </c>
      <c r="J40" t="s">
        <v>505</v>
      </c>
      <c r="K40" t="s">
        <v>3632</v>
      </c>
      <c r="L40" s="2">
        <v>38838</v>
      </c>
      <c r="M40" s="2">
        <v>39722</v>
      </c>
      <c r="N40" t="s">
        <v>506</v>
      </c>
      <c r="O40" t="s">
        <v>309</v>
      </c>
      <c r="P40" t="s">
        <v>3633</v>
      </c>
      <c r="Q40" t="s">
        <v>3634</v>
      </c>
      <c r="R40" s="2">
        <v>42008</v>
      </c>
      <c r="S40" s="2">
        <v>42016</v>
      </c>
      <c r="T40" t="s">
        <v>510</v>
      </c>
      <c r="U40" t="s">
        <v>309</v>
      </c>
      <c r="V40" s="2">
        <v>38860</v>
      </c>
      <c r="W40" s="2">
        <v>39882</v>
      </c>
      <c r="X40" t="s">
        <v>157</v>
      </c>
    </row>
    <row r="41" spans="1:24" x14ac:dyDescent="0.2">
      <c r="A41" t="s">
        <v>3635</v>
      </c>
      <c r="B41" t="s">
        <v>3629</v>
      </c>
      <c r="D41" t="s">
        <v>537</v>
      </c>
      <c r="I41" s="3" t="s">
        <v>3636</v>
      </c>
      <c r="J41" t="s">
        <v>75</v>
      </c>
      <c r="K41" t="s">
        <v>3637</v>
      </c>
      <c r="L41" s="25">
        <v>37987</v>
      </c>
      <c r="M41" s="25">
        <v>40178</v>
      </c>
      <c r="N41" t="s">
        <v>60</v>
      </c>
      <c r="O41" t="s">
        <v>388</v>
      </c>
      <c r="P41" t="s">
        <v>3638</v>
      </c>
      <c r="Q41" t="s">
        <v>64</v>
      </c>
      <c r="R41" s="2">
        <v>42740</v>
      </c>
      <c r="S41" s="2">
        <v>43105</v>
      </c>
      <c r="T41" t="s">
        <v>3460</v>
      </c>
      <c r="U41" t="s">
        <v>67</v>
      </c>
      <c r="V41" s="2">
        <v>39329</v>
      </c>
      <c r="W41" s="2">
        <v>40190</v>
      </c>
      <c r="X41" t="s">
        <v>51</v>
      </c>
    </row>
    <row r="42" spans="1:24" x14ac:dyDescent="0.2">
      <c r="A42" t="s">
        <v>3639</v>
      </c>
      <c r="B42" t="s">
        <v>3629</v>
      </c>
      <c r="D42" t="s">
        <v>861</v>
      </c>
      <c r="E42" t="s">
        <v>862</v>
      </c>
      <c r="G42" t="s">
        <v>3640</v>
      </c>
      <c r="I42" s="3" t="s">
        <v>3641</v>
      </c>
      <c r="J42" t="s">
        <v>864</v>
      </c>
      <c r="K42" t="s">
        <v>3642</v>
      </c>
      <c r="L42" s="2">
        <v>43891</v>
      </c>
      <c r="M42" s="2">
        <v>45291</v>
      </c>
      <c r="N42" t="s">
        <v>3460</v>
      </c>
      <c r="O42" t="s">
        <v>2116</v>
      </c>
      <c r="P42" t="s">
        <v>3643</v>
      </c>
      <c r="Q42" t="s">
        <v>3555</v>
      </c>
      <c r="R42" s="2">
        <v>44201</v>
      </c>
      <c r="S42" s="2">
        <v>44204</v>
      </c>
      <c r="T42" t="s">
        <v>3460</v>
      </c>
      <c r="U42" t="s">
        <v>174</v>
      </c>
      <c r="X42" t="s">
        <v>51</v>
      </c>
    </row>
    <row r="43" spans="1:24" x14ac:dyDescent="0.2">
      <c r="A43" t="s">
        <v>3644</v>
      </c>
      <c r="B43" t="s">
        <v>3629</v>
      </c>
      <c r="D43" t="s">
        <v>1385</v>
      </c>
      <c r="I43" s="3" t="s">
        <v>3645</v>
      </c>
      <c r="J43" t="s">
        <v>1391</v>
      </c>
      <c r="K43" t="s">
        <v>3501</v>
      </c>
      <c r="L43" s="2">
        <v>43497</v>
      </c>
      <c r="M43" s="2">
        <v>44105</v>
      </c>
      <c r="N43" t="s">
        <v>60</v>
      </c>
      <c r="P43" t="s">
        <v>3646</v>
      </c>
      <c r="Q43" t="s">
        <v>3555</v>
      </c>
      <c r="R43" s="2">
        <v>44572</v>
      </c>
      <c r="S43" s="2">
        <v>44199</v>
      </c>
      <c r="T43" t="s">
        <v>3460</v>
      </c>
      <c r="V43" s="2">
        <v>43626</v>
      </c>
      <c r="X43" t="s">
        <v>51</v>
      </c>
    </row>
    <row r="44" spans="1:24" x14ac:dyDescent="0.2">
      <c r="A44" t="s">
        <v>3647</v>
      </c>
      <c r="B44" t="s">
        <v>3629</v>
      </c>
      <c r="D44" t="s">
        <v>1425</v>
      </c>
      <c r="E44" t="s">
        <v>1426</v>
      </c>
      <c r="I44" s="3" t="s">
        <v>3648</v>
      </c>
      <c r="J44" t="s">
        <v>163</v>
      </c>
      <c r="K44" t="s">
        <v>3649</v>
      </c>
      <c r="L44" s="2">
        <v>40544</v>
      </c>
      <c r="M44" s="2">
        <v>41030</v>
      </c>
      <c r="N44" t="s">
        <v>1429</v>
      </c>
      <c r="O44" t="s">
        <v>67</v>
      </c>
      <c r="P44" t="s">
        <v>3650</v>
      </c>
      <c r="Q44" t="s">
        <v>3651</v>
      </c>
      <c r="R44" s="2">
        <v>42740</v>
      </c>
      <c r="S44" s="2">
        <v>44570</v>
      </c>
      <c r="T44" t="s">
        <v>1429</v>
      </c>
      <c r="U44" t="s">
        <v>2116</v>
      </c>
      <c r="V44" s="2">
        <v>40568</v>
      </c>
      <c r="W44" s="2">
        <v>41296</v>
      </c>
      <c r="X44" t="s">
        <v>157</v>
      </c>
    </row>
    <row r="45" spans="1:24" x14ac:dyDescent="0.2">
      <c r="A45" t="s">
        <v>3652</v>
      </c>
      <c r="B45" t="s">
        <v>3629</v>
      </c>
      <c r="D45" t="s">
        <v>1815</v>
      </c>
      <c r="E45" t="s">
        <v>1816</v>
      </c>
      <c r="I45" s="3" t="s">
        <v>3653</v>
      </c>
      <c r="J45" t="s">
        <v>3654</v>
      </c>
      <c r="K45" t="s">
        <v>3655</v>
      </c>
      <c r="L45" s="25">
        <v>37257</v>
      </c>
      <c r="M45" s="25">
        <v>38717</v>
      </c>
      <c r="N45" t="s">
        <v>198</v>
      </c>
      <c r="O45" t="s">
        <v>106</v>
      </c>
      <c r="P45" t="s">
        <v>3656</v>
      </c>
      <c r="Q45" t="s">
        <v>3657</v>
      </c>
      <c r="R45" s="2">
        <v>42736</v>
      </c>
      <c r="T45" t="s">
        <v>123</v>
      </c>
      <c r="U45" t="s">
        <v>2861</v>
      </c>
      <c r="V45" s="2">
        <v>37642</v>
      </c>
      <c r="W45" s="2">
        <v>39083</v>
      </c>
      <c r="X45" t="s">
        <v>51</v>
      </c>
    </row>
    <row r="46" spans="1:24" x14ac:dyDescent="0.2">
      <c r="A46" t="s">
        <v>3658</v>
      </c>
      <c r="B46" t="s">
        <v>3629</v>
      </c>
      <c r="D46" t="s">
        <v>3659</v>
      </c>
      <c r="E46" t="s">
        <v>1827</v>
      </c>
      <c r="G46" t="s">
        <v>3660</v>
      </c>
      <c r="I46" s="3" t="s">
        <v>3661</v>
      </c>
      <c r="J46" t="s">
        <v>816</v>
      </c>
      <c r="K46" t="s">
        <v>153</v>
      </c>
      <c r="L46" s="25">
        <v>39083</v>
      </c>
      <c r="M46" s="25">
        <v>40178</v>
      </c>
      <c r="N46" t="s">
        <v>3494</v>
      </c>
      <c r="O46" t="s">
        <v>156</v>
      </c>
      <c r="X46" t="s">
        <v>51</v>
      </c>
    </row>
    <row r="47" spans="1:24" x14ac:dyDescent="0.2">
      <c r="A47" t="s">
        <v>3662</v>
      </c>
      <c r="B47" t="s">
        <v>3629</v>
      </c>
      <c r="D47" t="s">
        <v>1831</v>
      </c>
      <c r="E47" t="s">
        <v>1832</v>
      </c>
      <c r="G47" t="s">
        <v>3663</v>
      </c>
      <c r="I47" s="3" t="s">
        <v>3664</v>
      </c>
      <c r="J47" t="s">
        <v>3665</v>
      </c>
      <c r="K47" t="s">
        <v>3589</v>
      </c>
      <c r="L47" s="25">
        <v>36069</v>
      </c>
      <c r="M47" s="25">
        <v>37591</v>
      </c>
      <c r="N47" t="s">
        <v>3460</v>
      </c>
      <c r="O47" t="s">
        <v>309</v>
      </c>
      <c r="P47" t="s">
        <v>1836</v>
      </c>
      <c r="Q47" t="s">
        <v>3666</v>
      </c>
      <c r="R47" s="2">
        <v>43476</v>
      </c>
      <c r="S47" s="2">
        <v>44204</v>
      </c>
      <c r="T47" t="s">
        <v>3460</v>
      </c>
      <c r="U47" t="s">
        <v>309</v>
      </c>
      <c r="V47" s="2">
        <v>37013</v>
      </c>
      <c r="W47" s="2">
        <v>37649</v>
      </c>
      <c r="X47" t="s">
        <v>51</v>
      </c>
    </row>
    <row r="48" spans="1:24" x14ac:dyDescent="0.2">
      <c r="A48" t="s">
        <v>3667</v>
      </c>
      <c r="B48" t="s">
        <v>3629</v>
      </c>
      <c r="D48" t="s">
        <v>2071</v>
      </c>
      <c r="E48" t="s">
        <v>2072</v>
      </c>
      <c r="G48" t="s">
        <v>3668</v>
      </c>
      <c r="I48" s="3" t="s">
        <v>3669</v>
      </c>
      <c r="J48" t="s">
        <v>3670</v>
      </c>
      <c r="K48" t="s">
        <v>3671</v>
      </c>
      <c r="L48" s="2">
        <v>43709</v>
      </c>
      <c r="M48" s="17"/>
      <c r="N48" t="s">
        <v>3460</v>
      </c>
      <c r="O48" t="s">
        <v>106</v>
      </c>
      <c r="V48" s="2">
        <v>43843</v>
      </c>
      <c r="X48" t="s">
        <v>51</v>
      </c>
    </row>
    <row r="49" spans="1:24" x14ac:dyDescent="0.2">
      <c r="A49" t="s">
        <v>3672</v>
      </c>
      <c r="B49" t="s">
        <v>3629</v>
      </c>
      <c r="D49" t="s">
        <v>2099</v>
      </c>
      <c r="E49" t="s">
        <v>2100</v>
      </c>
      <c r="I49" s="3" t="s">
        <v>3673</v>
      </c>
      <c r="J49" t="s">
        <v>2102</v>
      </c>
      <c r="K49" t="s">
        <v>3493</v>
      </c>
      <c r="L49" s="2">
        <v>36526</v>
      </c>
      <c r="M49" s="2">
        <v>38717</v>
      </c>
      <c r="N49" t="s">
        <v>3494</v>
      </c>
      <c r="O49" t="s">
        <v>214</v>
      </c>
      <c r="P49" t="s">
        <v>816</v>
      </c>
      <c r="Q49" t="s">
        <v>40</v>
      </c>
      <c r="R49" s="2">
        <v>44934</v>
      </c>
      <c r="S49" s="2">
        <v>47125</v>
      </c>
      <c r="U49" t="s">
        <v>156</v>
      </c>
      <c r="V49" s="2">
        <v>37387</v>
      </c>
      <c r="W49" s="2">
        <v>38007</v>
      </c>
      <c r="X49" t="s">
        <v>51</v>
      </c>
    </row>
    <row r="50" spans="1:24" x14ac:dyDescent="0.2">
      <c r="A50" t="s">
        <v>3674</v>
      </c>
      <c r="B50" t="s">
        <v>3629</v>
      </c>
      <c r="D50" t="s">
        <v>2110</v>
      </c>
      <c r="E50" t="s">
        <v>2111</v>
      </c>
      <c r="I50" s="3" t="s">
        <v>3675</v>
      </c>
      <c r="J50" t="s">
        <v>163</v>
      </c>
      <c r="K50" t="s">
        <v>3461</v>
      </c>
      <c r="L50" s="2">
        <v>43160</v>
      </c>
      <c r="M50" s="2">
        <v>43891</v>
      </c>
      <c r="N50" t="s">
        <v>3460</v>
      </c>
      <c r="O50" t="s">
        <v>67</v>
      </c>
      <c r="P50" t="s">
        <v>2114</v>
      </c>
      <c r="Q50" t="s">
        <v>3676</v>
      </c>
      <c r="R50" s="2">
        <v>44197</v>
      </c>
      <c r="S50" s="2">
        <v>44200</v>
      </c>
      <c r="U50" t="s">
        <v>2116</v>
      </c>
      <c r="V50" s="2">
        <v>43255</v>
      </c>
      <c r="W50" s="2">
        <v>43631</v>
      </c>
      <c r="X50" t="s">
        <v>51</v>
      </c>
    </row>
    <row r="51" spans="1:24" x14ac:dyDescent="0.2">
      <c r="A51" t="s">
        <v>3677</v>
      </c>
      <c r="B51" t="s">
        <v>3629</v>
      </c>
      <c r="D51" t="s">
        <v>3678</v>
      </c>
      <c r="E51" t="s">
        <v>3679</v>
      </c>
      <c r="G51" t="s">
        <v>3680</v>
      </c>
      <c r="I51" s="3" t="s">
        <v>2170</v>
      </c>
      <c r="J51" t="s">
        <v>573</v>
      </c>
      <c r="K51" t="s">
        <v>3681</v>
      </c>
      <c r="L51" s="2">
        <v>42278</v>
      </c>
      <c r="M51" s="2">
        <v>43009</v>
      </c>
      <c r="N51" t="s">
        <v>3460</v>
      </c>
      <c r="O51" t="s">
        <v>67</v>
      </c>
      <c r="P51" t="s">
        <v>3682</v>
      </c>
      <c r="Q51" t="s">
        <v>3555</v>
      </c>
      <c r="R51" s="2">
        <v>42742</v>
      </c>
      <c r="S51" s="2">
        <v>42736</v>
      </c>
      <c r="U51" t="s">
        <v>156</v>
      </c>
      <c r="X51" t="s">
        <v>157</v>
      </c>
    </row>
    <row r="52" spans="1:24" x14ac:dyDescent="0.2">
      <c r="A52" t="s">
        <v>3683</v>
      </c>
      <c r="B52" t="s">
        <v>3629</v>
      </c>
      <c r="D52" t="s">
        <v>2208</v>
      </c>
      <c r="E52" t="s">
        <v>2209</v>
      </c>
      <c r="V52" s="2">
        <v>33419</v>
      </c>
      <c r="W52" s="2">
        <v>34233</v>
      </c>
      <c r="X52" t="s">
        <v>51</v>
      </c>
    </row>
    <row r="53" spans="1:24" x14ac:dyDescent="0.2">
      <c r="A53" t="s">
        <v>3684</v>
      </c>
      <c r="B53" t="s">
        <v>3629</v>
      </c>
      <c r="D53" t="s">
        <v>2331</v>
      </c>
      <c r="E53" t="s">
        <v>2332</v>
      </c>
      <c r="G53" t="s">
        <v>3685</v>
      </c>
      <c r="I53" s="3" t="s">
        <v>3686</v>
      </c>
      <c r="J53" t="s">
        <v>3687</v>
      </c>
      <c r="K53" t="s">
        <v>3688</v>
      </c>
      <c r="L53" s="25">
        <v>37257</v>
      </c>
      <c r="M53" s="25">
        <v>38717</v>
      </c>
      <c r="N53" t="s">
        <v>3689</v>
      </c>
      <c r="O53" t="s">
        <v>106</v>
      </c>
      <c r="P53" t="s">
        <v>3690</v>
      </c>
      <c r="Q53" t="s">
        <v>3688</v>
      </c>
      <c r="R53" s="2">
        <v>42012</v>
      </c>
      <c r="T53" t="s">
        <v>3691</v>
      </c>
      <c r="U53" t="s">
        <v>106</v>
      </c>
      <c r="V53" s="2">
        <v>38475</v>
      </c>
      <c r="W53" s="2">
        <v>38860</v>
      </c>
      <c r="X53" t="s">
        <v>51</v>
      </c>
    </row>
    <row r="54" spans="1:24" x14ac:dyDescent="0.2">
      <c r="A54" t="s">
        <v>3692</v>
      </c>
      <c r="B54" t="s">
        <v>3629</v>
      </c>
      <c r="D54" t="s">
        <v>2590</v>
      </c>
      <c r="E54" t="s">
        <v>2591</v>
      </c>
      <c r="I54" s="3" t="s">
        <v>3693</v>
      </c>
      <c r="J54" t="s">
        <v>75</v>
      </c>
      <c r="K54" t="s">
        <v>3694</v>
      </c>
      <c r="L54" s="2">
        <v>40817</v>
      </c>
      <c r="M54" s="2">
        <v>41791</v>
      </c>
      <c r="N54" t="s">
        <v>3460</v>
      </c>
      <c r="O54" t="s">
        <v>388</v>
      </c>
      <c r="P54" t="s">
        <v>631</v>
      </c>
      <c r="Q54" t="s">
        <v>3501</v>
      </c>
      <c r="R54" s="2">
        <v>42013</v>
      </c>
      <c r="S54" s="2">
        <v>44565</v>
      </c>
      <c r="T54" t="s">
        <v>3460</v>
      </c>
      <c r="U54" t="s">
        <v>67</v>
      </c>
      <c r="V54" s="2">
        <v>40567</v>
      </c>
      <c r="W54" s="2">
        <v>41799</v>
      </c>
      <c r="X54" t="s">
        <v>51</v>
      </c>
    </row>
    <row r="55" spans="1:24" x14ac:dyDescent="0.2">
      <c r="A55" t="s">
        <v>3695</v>
      </c>
      <c r="B55" t="s">
        <v>3629</v>
      </c>
      <c r="D55" t="s">
        <v>2872</v>
      </c>
      <c r="E55" t="s">
        <v>2873</v>
      </c>
      <c r="I55" s="3" t="s">
        <v>3696</v>
      </c>
      <c r="J55" t="s">
        <v>3697</v>
      </c>
      <c r="K55" t="s">
        <v>3698</v>
      </c>
      <c r="L55" s="2">
        <v>33604</v>
      </c>
      <c r="M55" s="2">
        <v>35795</v>
      </c>
      <c r="N55" t="s">
        <v>3494</v>
      </c>
      <c r="P55" t="s">
        <v>3699</v>
      </c>
      <c r="Q55" t="s">
        <v>3600</v>
      </c>
      <c r="R55" s="2">
        <v>42370</v>
      </c>
      <c r="S55" s="2">
        <v>44201</v>
      </c>
      <c r="T55" t="s">
        <v>3494</v>
      </c>
      <c r="U55" t="s">
        <v>44</v>
      </c>
      <c r="V55" s="2">
        <v>34658</v>
      </c>
      <c r="W55" s="2">
        <v>34974</v>
      </c>
      <c r="X55" t="s">
        <v>51</v>
      </c>
    </row>
    <row r="56" spans="1:24" x14ac:dyDescent="0.2">
      <c r="A56" t="s">
        <v>3700</v>
      </c>
      <c r="B56" t="s">
        <v>3629</v>
      </c>
      <c r="D56" t="s">
        <v>2964</v>
      </c>
      <c r="E56" t="s">
        <v>2965</v>
      </c>
      <c r="G56" t="s">
        <v>3701</v>
      </c>
      <c r="I56" s="3" t="s">
        <v>3702</v>
      </c>
      <c r="J56" t="s">
        <v>3703</v>
      </c>
      <c r="K56" t="s">
        <v>3704</v>
      </c>
      <c r="L56" s="2">
        <v>38749</v>
      </c>
      <c r="M56" s="2">
        <v>39356</v>
      </c>
      <c r="N56" t="s">
        <v>3494</v>
      </c>
      <c r="O56" t="s">
        <v>136</v>
      </c>
      <c r="P56" t="s">
        <v>3705</v>
      </c>
      <c r="Q56" t="s">
        <v>3706</v>
      </c>
      <c r="R56" s="2">
        <v>44927</v>
      </c>
      <c r="T56" t="s">
        <v>3460</v>
      </c>
      <c r="V56" s="2">
        <v>39098</v>
      </c>
      <c r="W56" s="2">
        <v>39882</v>
      </c>
      <c r="X56" t="s">
        <v>51</v>
      </c>
    </row>
    <row r="57" spans="1:24" x14ac:dyDescent="0.2">
      <c r="A57" t="s">
        <v>3707</v>
      </c>
      <c r="B57" t="s">
        <v>3629</v>
      </c>
      <c r="D57" t="s">
        <v>2976</v>
      </c>
      <c r="I57" s="3" t="s">
        <v>3708</v>
      </c>
      <c r="J57" t="s">
        <v>3709</v>
      </c>
      <c r="K57" t="s">
        <v>3710</v>
      </c>
      <c r="L57" s="2">
        <v>42278</v>
      </c>
      <c r="M57" s="2">
        <v>43221</v>
      </c>
      <c r="P57" t="s">
        <v>3711</v>
      </c>
      <c r="Q57" t="s">
        <v>3710</v>
      </c>
      <c r="R57" s="2">
        <v>43474</v>
      </c>
      <c r="S57" s="2">
        <v>44927</v>
      </c>
      <c r="T57" t="s">
        <v>3494</v>
      </c>
      <c r="U57" t="s">
        <v>1053</v>
      </c>
      <c r="V57" s="2">
        <v>42380</v>
      </c>
      <c r="W57" s="2">
        <v>43251</v>
      </c>
      <c r="X57" t="s">
        <v>3712</v>
      </c>
    </row>
    <row r="58" spans="1:24" x14ac:dyDescent="0.2">
      <c r="A58" t="s">
        <v>3713</v>
      </c>
      <c r="B58" t="s">
        <v>3629</v>
      </c>
      <c r="D58" t="s">
        <v>3028</v>
      </c>
      <c r="E58" t="s">
        <v>3029</v>
      </c>
      <c r="G58" t="s">
        <v>3714</v>
      </c>
      <c r="I58" s="3" t="s">
        <v>3715</v>
      </c>
      <c r="J58" t="s">
        <v>3716</v>
      </c>
      <c r="K58" t="s">
        <v>3717</v>
      </c>
      <c r="L58" s="2">
        <v>41913</v>
      </c>
      <c r="M58" s="2">
        <v>42979</v>
      </c>
      <c r="N58" t="s">
        <v>3494</v>
      </c>
      <c r="O58" t="s">
        <v>2116</v>
      </c>
      <c r="V58" s="2">
        <v>42023</v>
      </c>
      <c r="W58" s="2">
        <v>42982</v>
      </c>
      <c r="X58" t="s">
        <v>51</v>
      </c>
    </row>
    <row r="59" spans="1:24" x14ac:dyDescent="0.2">
      <c r="A59" t="s">
        <v>3718</v>
      </c>
      <c r="B59" t="s">
        <v>3629</v>
      </c>
      <c r="D59" t="s">
        <v>3177</v>
      </c>
      <c r="E59" t="s">
        <v>3178</v>
      </c>
      <c r="G59" t="s">
        <v>3719</v>
      </c>
      <c r="I59" s="3" t="s">
        <v>3720</v>
      </c>
      <c r="J59" t="s">
        <v>75</v>
      </c>
      <c r="K59" t="s">
        <v>3721</v>
      </c>
      <c r="L59" s="2">
        <v>38261</v>
      </c>
      <c r="M59" s="2">
        <v>40238</v>
      </c>
      <c r="N59" t="s">
        <v>3460</v>
      </c>
      <c r="O59" t="s">
        <v>388</v>
      </c>
      <c r="P59" t="s">
        <v>3180</v>
      </c>
      <c r="Q59" t="s">
        <v>3722</v>
      </c>
      <c r="R59" s="2">
        <v>42746</v>
      </c>
      <c r="S59" s="2">
        <v>44201</v>
      </c>
      <c r="T59" t="s">
        <v>3494</v>
      </c>
      <c r="V59" s="2">
        <v>38356</v>
      </c>
      <c r="X59" t="s">
        <v>51</v>
      </c>
    </row>
    <row r="60" spans="1:24" x14ac:dyDescent="0.2">
      <c r="A60" t="s">
        <v>3723</v>
      </c>
      <c r="B60" t="s">
        <v>2044</v>
      </c>
      <c r="D60" t="s">
        <v>2043</v>
      </c>
      <c r="V60" s="2">
        <v>37278</v>
      </c>
      <c r="W60" s="2">
        <v>38007</v>
      </c>
      <c r="X60" t="s">
        <v>51</v>
      </c>
    </row>
    <row r="61" spans="1:24" x14ac:dyDescent="0.2">
      <c r="A61" t="s">
        <v>3724</v>
      </c>
      <c r="B61" t="s">
        <v>1601</v>
      </c>
      <c r="D61" t="s">
        <v>1600</v>
      </c>
      <c r="E61" t="s">
        <v>3725</v>
      </c>
      <c r="I61" s="3" t="s">
        <v>3726</v>
      </c>
      <c r="J61" t="s">
        <v>816</v>
      </c>
      <c r="K61" t="s">
        <v>3727</v>
      </c>
      <c r="N61" t="s">
        <v>123</v>
      </c>
      <c r="O61" t="s">
        <v>156</v>
      </c>
      <c r="V61" s="2">
        <v>33865</v>
      </c>
      <c r="W61" s="2">
        <v>34236</v>
      </c>
      <c r="X61" t="s">
        <v>51</v>
      </c>
    </row>
    <row r="62" spans="1:24" x14ac:dyDescent="0.2">
      <c r="A62" t="s">
        <v>3728</v>
      </c>
      <c r="B62" t="s">
        <v>2530</v>
      </c>
      <c r="D62" t="s">
        <v>2642</v>
      </c>
      <c r="I62" s="3" t="s">
        <v>3729</v>
      </c>
      <c r="J62" t="s">
        <v>3730</v>
      </c>
      <c r="K62" t="s">
        <v>3731</v>
      </c>
      <c r="L62" s="2">
        <v>33482</v>
      </c>
      <c r="M62" s="2">
        <v>33573</v>
      </c>
      <c r="N62" t="s">
        <v>1884</v>
      </c>
      <c r="O62" t="s">
        <v>91</v>
      </c>
      <c r="P62" t="s">
        <v>3732</v>
      </c>
      <c r="Q62" t="s">
        <v>3733</v>
      </c>
      <c r="R62" s="2">
        <v>44199</v>
      </c>
      <c r="S62" s="2">
        <v>44197</v>
      </c>
      <c r="T62" t="s">
        <v>3460</v>
      </c>
      <c r="U62" t="s">
        <v>452</v>
      </c>
      <c r="V62" s="2">
        <v>33419</v>
      </c>
      <c r="W62" s="2">
        <v>34233</v>
      </c>
      <c r="X62" t="s">
        <v>51</v>
      </c>
    </row>
    <row r="63" spans="1:24" x14ac:dyDescent="0.2">
      <c r="A63" t="s">
        <v>3734</v>
      </c>
      <c r="B63" t="s">
        <v>2530</v>
      </c>
      <c r="D63" t="s">
        <v>3735</v>
      </c>
      <c r="E63" t="s">
        <v>3087</v>
      </c>
      <c r="I63" s="3" t="s">
        <v>3736</v>
      </c>
      <c r="J63" t="s">
        <v>3090</v>
      </c>
      <c r="K63" t="s">
        <v>3737</v>
      </c>
      <c r="L63" s="2">
        <v>39508</v>
      </c>
      <c r="M63" s="2">
        <v>40452</v>
      </c>
      <c r="N63" t="s">
        <v>2901</v>
      </c>
      <c r="O63" t="s">
        <v>106</v>
      </c>
      <c r="P63" t="s">
        <v>3738</v>
      </c>
      <c r="Q63" t="s">
        <v>3739</v>
      </c>
      <c r="R63" s="2">
        <v>42375</v>
      </c>
      <c r="S63" s="2">
        <v>44205</v>
      </c>
      <c r="T63" t="s">
        <v>3740</v>
      </c>
      <c r="U63" t="s">
        <v>106</v>
      </c>
      <c r="X63" t="s">
        <v>51</v>
      </c>
    </row>
    <row r="64" spans="1:24" x14ac:dyDescent="0.2">
      <c r="A64" t="s">
        <v>3741</v>
      </c>
      <c r="B64" t="s">
        <v>3251</v>
      </c>
      <c r="D64" t="s">
        <v>3250</v>
      </c>
      <c r="E64" t="s">
        <v>3252</v>
      </c>
      <c r="G64" t="s">
        <v>3742</v>
      </c>
      <c r="V64" s="2">
        <v>38860</v>
      </c>
      <c r="W64" s="2">
        <v>39406</v>
      </c>
      <c r="X64" t="s">
        <v>51</v>
      </c>
    </row>
    <row r="65" spans="1:25" x14ac:dyDescent="0.2">
      <c r="A65" t="s">
        <v>3743</v>
      </c>
      <c r="B65" t="s">
        <v>3744</v>
      </c>
      <c r="D65" t="s">
        <v>175</v>
      </c>
      <c r="E65" t="s">
        <v>177</v>
      </c>
      <c r="G65" t="s">
        <v>3745</v>
      </c>
      <c r="I65" s="3" t="s">
        <v>3746</v>
      </c>
      <c r="J65" t="s">
        <v>181</v>
      </c>
      <c r="K65" t="s">
        <v>2364</v>
      </c>
      <c r="L65" s="2">
        <v>37712</v>
      </c>
      <c r="M65" s="2">
        <v>39448</v>
      </c>
      <c r="N65" t="s">
        <v>3494</v>
      </c>
      <c r="O65" t="s">
        <v>183</v>
      </c>
      <c r="P65" t="s">
        <v>3747</v>
      </c>
      <c r="Q65" t="s">
        <v>345</v>
      </c>
      <c r="R65" s="2">
        <v>40911</v>
      </c>
      <c r="S65" s="2">
        <v>44568</v>
      </c>
      <c r="U65" t="s">
        <v>183</v>
      </c>
      <c r="V65" s="2">
        <v>38007</v>
      </c>
      <c r="W65" s="2">
        <v>39469</v>
      </c>
      <c r="X65" t="s">
        <v>51</v>
      </c>
    </row>
    <row r="66" spans="1:25" x14ac:dyDescent="0.2">
      <c r="A66" t="s">
        <v>3748</v>
      </c>
      <c r="B66" t="s">
        <v>3744</v>
      </c>
      <c r="D66" t="s">
        <v>439</v>
      </c>
      <c r="E66" t="s">
        <v>440</v>
      </c>
      <c r="I66" s="3" t="s">
        <v>3749</v>
      </c>
      <c r="J66" t="s">
        <v>443</v>
      </c>
      <c r="K66" t="s">
        <v>3750</v>
      </c>
      <c r="L66" s="25">
        <v>40544</v>
      </c>
      <c r="M66" s="25">
        <v>42370</v>
      </c>
      <c r="N66" t="s">
        <v>3751</v>
      </c>
      <c r="O66" t="s">
        <v>67</v>
      </c>
      <c r="P66" t="s">
        <v>3752</v>
      </c>
      <c r="Q66" t="s">
        <v>3753</v>
      </c>
      <c r="R66" s="2">
        <v>44562</v>
      </c>
      <c r="T66" t="s">
        <v>446</v>
      </c>
      <c r="U66" t="s">
        <v>256</v>
      </c>
      <c r="V66" s="2">
        <v>40567</v>
      </c>
      <c r="W66" s="2">
        <v>41157</v>
      </c>
      <c r="X66" t="s">
        <v>51</v>
      </c>
    </row>
    <row r="67" spans="1:25" x14ac:dyDescent="0.2">
      <c r="A67" t="s">
        <v>3754</v>
      </c>
      <c r="B67" t="s">
        <v>3744</v>
      </c>
      <c r="C67" t="s">
        <v>3755</v>
      </c>
      <c r="D67" t="s">
        <v>3043</v>
      </c>
      <c r="V67" s="2">
        <v>42380</v>
      </c>
      <c r="X67" t="s">
        <v>51</v>
      </c>
    </row>
    <row r="68" spans="1:25" x14ac:dyDescent="0.2">
      <c r="A68" t="s">
        <v>3756</v>
      </c>
      <c r="B68" t="s">
        <v>3744</v>
      </c>
      <c r="D68" t="s">
        <v>2090</v>
      </c>
      <c r="I68" s="3" t="s">
        <v>3757</v>
      </c>
      <c r="J68" t="s">
        <v>3758</v>
      </c>
      <c r="K68" t="s">
        <v>3759</v>
      </c>
      <c r="L68" s="2">
        <v>42005</v>
      </c>
      <c r="M68" s="2">
        <v>43465</v>
      </c>
      <c r="N68" t="s">
        <v>3494</v>
      </c>
      <c r="O68" t="s">
        <v>214</v>
      </c>
      <c r="P68" t="s">
        <v>3760</v>
      </c>
      <c r="Q68" t="s">
        <v>3761</v>
      </c>
      <c r="R68" s="2">
        <v>43471</v>
      </c>
      <c r="S68" s="2">
        <v>44567</v>
      </c>
      <c r="T68" t="s">
        <v>3494</v>
      </c>
      <c r="U68" t="s">
        <v>156</v>
      </c>
      <c r="V68" s="2">
        <v>42886</v>
      </c>
      <c r="X68" t="s">
        <v>51</v>
      </c>
    </row>
    <row r="69" spans="1:25" x14ac:dyDescent="0.2">
      <c r="A69" t="s">
        <v>3762</v>
      </c>
      <c r="B69" t="s">
        <v>3744</v>
      </c>
      <c r="C69" t="s">
        <v>1715</v>
      </c>
      <c r="D69" t="s">
        <v>2849</v>
      </c>
      <c r="E69" t="s">
        <v>2851</v>
      </c>
      <c r="G69" t="s">
        <v>3763</v>
      </c>
      <c r="I69" s="3" t="s">
        <v>3764</v>
      </c>
      <c r="J69" t="s">
        <v>2854</v>
      </c>
      <c r="K69" t="s">
        <v>64</v>
      </c>
      <c r="L69" s="25"/>
      <c r="M69" s="4"/>
      <c r="N69" t="s">
        <v>3494</v>
      </c>
      <c r="O69" t="s">
        <v>67</v>
      </c>
      <c r="V69" s="2">
        <v>41799</v>
      </c>
      <c r="W69" s="2">
        <v>42534</v>
      </c>
      <c r="X69" t="s">
        <v>51</v>
      </c>
    </row>
    <row r="70" spans="1:25" x14ac:dyDescent="0.2">
      <c r="A70" t="s">
        <v>3765</v>
      </c>
      <c r="B70" t="s">
        <v>3766</v>
      </c>
      <c r="D70" t="s">
        <v>1769</v>
      </c>
      <c r="V70" s="2">
        <v>33240</v>
      </c>
      <c r="W70" s="2">
        <v>34233</v>
      </c>
      <c r="X70" t="s">
        <v>51</v>
      </c>
    </row>
    <row r="71" spans="1:25" x14ac:dyDescent="0.2">
      <c r="A71" t="s">
        <v>3767</v>
      </c>
      <c r="B71" t="s">
        <v>2280</v>
      </c>
      <c r="D71" t="s">
        <v>2279</v>
      </c>
      <c r="V71" s="2">
        <v>37013</v>
      </c>
      <c r="W71" s="2">
        <v>37649</v>
      </c>
      <c r="X71" t="s">
        <v>51</v>
      </c>
    </row>
    <row r="72" spans="1:25" x14ac:dyDescent="0.2">
      <c r="A72" t="s">
        <v>3768</v>
      </c>
      <c r="B72" t="s">
        <v>3769</v>
      </c>
      <c r="D72" t="s">
        <v>2479</v>
      </c>
      <c r="E72" t="s">
        <v>2481</v>
      </c>
      <c r="G72" t="s">
        <v>3770</v>
      </c>
      <c r="I72" s="3" t="s">
        <v>3771</v>
      </c>
      <c r="J72" t="s">
        <v>573</v>
      </c>
      <c r="K72" t="s">
        <v>3772</v>
      </c>
      <c r="L72" s="2">
        <v>38626</v>
      </c>
      <c r="M72" s="2">
        <v>38991</v>
      </c>
      <c r="N72" t="s">
        <v>1560</v>
      </c>
      <c r="O72" t="s">
        <v>67</v>
      </c>
      <c r="P72" t="s">
        <v>2483</v>
      </c>
      <c r="Q72" t="s">
        <v>3773</v>
      </c>
      <c r="R72" s="2">
        <v>44933</v>
      </c>
      <c r="S72" s="2">
        <v>47123</v>
      </c>
      <c r="V72" s="2">
        <v>38732</v>
      </c>
      <c r="W72" s="2">
        <v>39083</v>
      </c>
      <c r="X72" t="s">
        <v>51</v>
      </c>
    </row>
    <row r="73" spans="1:25" x14ac:dyDescent="0.2">
      <c r="A73" t="s">
        <v>3774</v>
      </c>
      <c r="B73" t="s">
        <v>326</v>
      </c>
      <c r="D73" t="s">
        <v>318</v>
      </c>
      <c r="E73" t="s">
        <v>327</v>
      </c>
      <c r="I73" s="3" t="s">
        <v>3775</v>
      </c>
      <c r="J73" t="s">
        <v>329</v>
      </c>
      <c r="K73" t="s">
        <v>3776</v>
      </c>
      <c r="L73" s="2">
        <v>37288</v>
      </c>
      <c r="M73" s="2">
        <v>37500</v>
      </c>
      <c r="N73" t="s">
        <v>3460</v>
      </c>
      <c r="O73" t="s">
        <v>106</v>
      </c>
      <c r="V73" s="2">
        <v>37278</v>
      </c>
      <c r="W73" s="2">
        <v>38007</v>
      </c>
      <c r="X73" t="s">
        <v>51</v>
      </c>
    </row>
    <row r="74" spans="1:25" x14ac:dyDescent="0.2">
      <c r="A74" t="s">
        <v>3777</v>
      </c>
      <c r="B74" t="s">
        <v>326</v>
      </c>
      <c r="D74" t="s">
        <v>968</v>
      </c>
      <c r="E74" t="s">
        <v>969</v>
      </c>
      <c r="I74" s="3" t="s">
        <v>3778</v>
      </c>
      <c r="J74" t="s">
        <v>573</v>
      </c>
      <c r="K74" t="s">
        <v>3779</v>
      </c>
      <c r="L74" s="25">
        <v>36892</v>
      </c>
      <c r="M74" s="25">
        <v>38717</v>
      </c>
      <c r="N74" t="s">
        <v>971</v>
      </c>
      <c r="O74" t="s">
        <v>67</v>
      </c>
      <c r="P74" t="s">
        <v>973</v>
      </c>
      <c r="Q74" t="s">
        <v>3780</v>
      </c>
      <c r="R74" s="2">
        <v>42736</v>
      </c>
      <c r="S74" s="2">
        <v>44207</v>
      </c>
      <c r="T74" t="s">
        <v>974</v>
      </c>
      <c r="U74" t="s">
        <v>136</v>
      </c>
      <c r="V74" s="2">
        <v>37642</v>
      </c>
      <c r="W74" s="2">
        <v>38860</v>
      </c>
      <c r="X74" t="s">
        <v>51</v>
      </c>
    </row>
    <row r="75" spans="1:25" x14ac:dyDescent="0.2">
      <c r="A75" t="s">
        <v>3781</v>
      </c>
      <c r="B75" t="s">
        <v>326</v>
      </c>
      <c r="D75" t="s">
        <v>2081</v>
      </c>
      <c r="E75" t="s">
        <v>2082</v>
      </c>
      <c r="G75" t="s">
        <v>3782</v>
      </c>
      <c r="I75" s="3" t="s">
        <v>3783</v>
      </c>
      <c r="J75" t="s">
        <v>197</v>
      </c>
      <c r="K75" t="s">
        <v>3784</v>
      </c>
      <c r="L75" s="2">
        <v>38139</v>
      </c>
      <c r="M75" s="2">
        <v>39783</v>
      </c>
      <c r="N75" t="s">
        <v>198</v>
      </c>
      <c r="O75" t="s">
        <v>602</v>
      </c>
      <c r="P75" t="s">
        <v>2084</v>
      </c>
      <c r="Q75" t="s">
        <v>3785</v>
      </c>
      <c r="R75" s="2">
        <v>42375</v>
      </c>
      <c r="S75" s="2">
        <v>43104</v>
      </c>
      <c r="T75" t="s">
        <v>3494</v>
      </c>
      <c r="U75" t="s">
        <v>136</v>
      </c>
      <c r="V75" s="2">
        <v>38356</v>
      </c>
      <c r="W75" s="2">
        <v>39882</v>
      </c>
      <c r="X75" t="s">
        <v>51</v>
      </c>
    </row>
    <row r="76" spans="1:25" x14ac:dyDescent="0.2">
      <c r="A76" t="s">
        <v>3786</v>
      </c>
      <c r="B76" t="s">
        <v>326</v>
      </c>
      <c r="D76" t="s">
        <v>2570</v>
      </c>
      <c r="E76" t="s">
        <v>2572</v>
      </c>
      <c r="G76" t="s">
        <v>3787</v>
      </c>
      <c r="I76" s="3" t="s">
        <v>3788</v>
      </c>
      <c r="J76" t="s">
        <v>3789</v>
      </c>
      <c r="K76" t="s">
        <v>3790</v>
      </c>
      <c r="L76" s="2">
        <v>32295</v>
      </c>
      <c r="M76" s="2">
        <v>32843</v>
      </c>
      <c r="N76" t="s">
        <v>2575</v>
      </c>
      <c r="P76" t="s">
        <v>2576</v>
      </c>
      <c r="Q76" t="s">
        <v>345</v>
      </c>
      <c r="R76" s="2">
        <v>43107</v>
      </c>
      <c r="S76" s="2">
        <v>44568</v>
      </c>
      <c r="T76" t="s">
        <v>2575</v>
      </c>
      <c r="V76" s="2">
        <v>32464</v>
      </c>
      <c r="W76" s="2">
        <v>33238</v>
      </c>
      <c r="X76" t="s">
        <v>3655</v>
      </c>
      <c r="Y76" t="s">
        <v>51</v>
      </c>
    </row>
    <row r="77" spans="1:25" x14ac:dyDescent="0.2">
      <c r="A77" t="s">
        <v>3791</v>
      </c>
      <c r="B77" t="s">
        <v>326</v>
      </c>
      <c r="C77" t="s">
        <v>2345</v>
      </c>
      <c r="D77" t="s">
        <v>2344</v>
      </c>
      <c r="E77" t="s">
        <v>2346</v>
      </c>
      <c r="L77" s="2">
        <v>44440</v>
      </c>
      <c r="M77" s="2">
        <v>44835</v>
      </c>
      <c r="X77" t="s">
        <v>51</v>
      </c>
    </row>
    <row r="78" spans="1:25" x14ac:dyDescent="0.2">
      <c r="A78" t="s">
        <v>3792</v>
      </c>
      <c r="B78" t="s">
        <v>326</v>
      </c>
      <c r="D78" t="s">
        <v>2726</v>
      </c>
      <c r="E78" t="s">
        <v>2727</v>
      </c>
      <c r="G78" t="s">
        <v>3793</v>
      </c>
      <c r="I78" s="3" t="s">
        <v>3794</v>
      </c>
      <c r="J78" t="s">
        <v>3795</v>
      </c>
      <c r="K78" t="s">
        <v>3600</v>
      </c>
      <c r="L78" s="25">
        <v>36892</v>
      </c>
      <c r="M78" s="25">
        <v>38352</v>
      </c>
      <c r="P78" t="s">
        <v>3796</v>
      </c>
      <c r="Q78" t="s">
        <v>3797</v>
      </c>
      <c r="R78" s="2">
        <v>44935</v>
      </c>
      <c r="S78" s="2">
        <v>46027</v>
      </c>
      <c r="V78" s="2">
        <v>37278</v>
      </c>
      <c r="W78" s="2">
        <v>38007</v>
      </c>
      <c r="X78" t="s">
        <v>51</v>
      </c>
    </row>
    <row r="79" spans="1:25" x14ac:dyDescent="0.2">
      <c r="A79" t="s">
        <v>3798</v>
      </c>
      <c r="B79" t="s">
        <v>326</v>
      </c>
      <c r="D79" t="s">
        <v>3124</v>
      </c>
      <c r="G79" t="s">
        <v>3799</v>
      </c>
      <c r="H79" t="s">
        <v>3800</v>
      </c>
      <c r="I79" s="3" t="s">
        <v>3801</v>
      </c>
      <c r="J79" t="s">
        <v>3802</v>
      </c>
      <c r="K79" t="s">
        <v>3803</v>
      </c>
      <c r="L79" s="2">
        <v>37530</v>
      </c>
      <c r="M79" s="2">
        <v>38322</v>
      </c>
      <c r="N79" t="s">
        <v>3804</v>
      </c>
      <c r="P79" t="s">
        <v>3130</v>
      </c>
      <c r="Q79" t="s">
        <v>3805</v>
      </c>
      <c r="R79" s="2">
        <v>44929</v>
      </c>
      <c r="S79" s="2">
        <v>44569</v>
      </c>
      <c r="T79" t="s">
        <v>3460</v>
      </c>
      <c r="U79" t="s">
        <v>581</v>
      </c>
      <c r="V79" s="2">
        <v>37642</v>
      </c>
      <c r="W79" s="2">
        <v>38007</v>
      </c>
      <c r="X79" t="s">
        <v>51</v>
      </c>
    </row>
    <row r="80" spans="1:25" x14ac:dyDescent="0.2">
      <c r="A80" t="s">
        <v>3806</v>
      </c>
      <c r="B80" t="s">
        <v>326</v>
      </c>
      <c r="D80" t="s">
        <v>3300</v>
      </c>
      <c r="X80" t="s">
        <v>51</v>
      </c>
    </row>
    <row r="81" spans="1:26" x14ac:dyDescent="0.2">
      <c r="A81" t="s">
        <v>3807</v>
      </c>
      <c r="B81" t="s">
        <v>326</v>
      </c>
      <c r="D81" t="s">
        <v>3337</v>
      </c>
      <c r="E81" t="s">
        <v>3338</v>
      </c>
      <c r="G81" t="s">
        <v>3808</v>
      </c>
      <c r="I81" s="3" t="s">
        <v>3809</v>
      </c>
      <c r="J81" t="s">
        <v>3810</v>
      </c>
      <c r="K81" t="s">
        <v>3811</v>
      </c>
      <c r="L81" s="25">
        <v>37622</v>
      </c>
      <c r="M81" s="25">
        <v>39082</v>
      </c>
      <c r="N81" t="s">
        <v>2915</v>
      </c>
      <c r="O81" t="s">
        <v>1053</v>
      </c>
      <c r="P81" t="s">
        <v>3341</v>
      </c>
      <c r="Q81" t="s">
        <v>3812</v>
      </c>
      <c r="R81" s="2">
        <v>41280</v>
      </c>
      <c r="S81" s="2">
        <v>43102</v>
      </c>
      <c r="T81" t="s">
        <v>1884</v>
      </c>
      <c r="U81" t="s">
        <v>1053</v>
      </c>
      <c r="V81" s="2">
        <v>38356</v>
      </c>
      <c r="X81" t="s">
        <v>51</v>
      </c>
    </row>
    <row r="82" spans="1:26" x14ac:dyDescent="0.2">
      <c r="A82" t="s">
        <v>3813</v>
      </c>
      <c r="B82" t="s">
        <v>2105</v>
      </c>
      <c r="D82" t="s">
        <v>2104</v>
      </c>
      <c r="E82" t="s">
        <v>2106</v>
      </c>
      <c r="I82" s="3" t="s">
        <v>3814</v>
      </c>
      <c r="J82" t="s">
        <v>2108</v>
      </c>
      <c r="K82" t="s">
        <v>3815</v>
      </c>
      <c r="L82" s="2"/>
      <c r="O82" t="s">
        <v>156</v>
      </c>
      <c r="P82" t="s">
        <v>3816</v>
      </c>
      <c r="Q82" t="s">
        <v>3817</v>
      </c>
      <c r="R82" s="2">
        <v>41278</v>
      </c>
      <c r="S82" s="2">
        <v>43101</v>
      </c>
      <c r="T82" t="s">
        <v>3460</v>
      </c>
      <c r="U82" t="s">
        <v>309</v>
      </c>
      <c r="V82" s="2">
        <v>35488</v>
      </c>
      <c r="W82" s="2">
        <v>37313</v>
      </c>
      <c r="X82" t="s">
        <v>51</v>
      </c>
    </row>
    <row r="83" spans="1:26" x14ac:dyDescent="0.2">
      <c r="A83" t="s">
        <v>3818</v>
      </c>
      <c r="B83" t="s">
        <v>568</v>
      </c>
      <c r="D83" t="s">
        <v>1017</v>
      </c>
      <c r="I83" s="3" t="s">
        <v>3819</v>
      </c>
      <c r="J83" t="s">
        <v>1020</v>
      </c>
      <c r="K83" t="s">
        <v>3820</v>
      </c>
      <c r="L83" s="2">
        <v>41671</v>
      </c>
      <c r="M83" s="2">
        <v>42186</v>
      </c>
      <c r="N83" t="s">
        <v>3460</v>
      </c>
      <c r="O83" t="s">
        <v>309</v>
      </c>
      <c r="P83" t="s">
        <v>803</v>
      </c>
      <c r="Q83" t="s">
        <v>3501</v>
      </c>
      <c r="R83" s="2">
        <v>42736</v>
      </c>
      <c r="S83" s="2">
        <v>43467</v>
      </c>
      <c r="T83" t="s">
        <v>3460</v>
      </c>
      <c r="U83" t="s">
        <v>67</v>
      </c>
      <c r="V83" s="2">
        <v>41799</v>
      </c>
      <c r="W83" s="2">
        <v>42159</v>
      </c>
      <c r="X83" t="s">
        <v>51</v>
      </c>
    </row>
    <row r="84" spans="1:26" x14ac:dyDescent="0.2">
      <c r="A84" t="s">
        <v>3821</v>
      </c>
      <c r="B84" t="s">
        <v>568</v>
      </c>
      <c r="D84" t="s">
        <v>1351</v>
      </c>
      <c r="E84" t="s">
        <v>1352</v>
      </c>
      <c r="G84" t="s">
        <v>3822</v>
      </c>
      <c r="V84" s="2">
        <v>40323</v>
      </c>
      <c r="W84" s="2">
        <v>41533</v>
      </c>
      <c r="X84" t="s">
        <v>51</v>
      </c>
    </row>
    <row r="85" spans="1:26" x14ac:dyDescent="0.2">
      <c r="A85" t="s">
        <v>3823</v>
      </c>
      <c r="B85" t="s">
        <v>1304</v>
      </c>
      <c r="D85" t="s">
        <v>1303</v>
      </c>
      <c r="E85" t="s">
        <v>1306</v>
      </c>
      <c r="G85" t="s">
        <v>3824</v>
      </c>
      <c r="I85" s="3" t="s">
        <v>3825</v>
      </c>
      <c r="J85" t="s">
        <v>1308</v>
      </c>
      <c r="K85" t="s">
        <v>3826</v>
      </c>
      <c r="L85" s="25">
        <v>36892</v>
      </c>
      <c r="M85" s="25">
        <v>39082</v>
      </c>
      <c r="N85" t="s">
        <v>1309</v>
      </c>
      <c r="O85" t="s">
        <v>106</v>
      </c>
      <c r="P85" t="s">
        <v>171</v>
      </c>
      <c r="Q85" t="s">
        <v>3501</v>
      </c>
      <c r="R85" s="2">
        <v>40550</v>
      </c>
      <c r="S85" s="2">
        <v>41286</v>
      </c>
      <c r="T85" t="s">
        <v>3460</v>
      </c>
      <c r="U85" t="s">
        <v>67</v>
      </c>
      <c r="V85" s="2">
        <v>38797</v>
      </c>
      <c r="W85" s="2">
        <v>39083</v>
      </c>
      <c r="X85" t="s">
        <v>51</v>
      </c>
    </row>
    <row r="86" spans="1:26" x14ac:dyDescent="0.2">
      <c r="A86" t="s">
        <v>3827</v>
      </c>
      <c r="B86" t="s">
        <v>3183</v>
      </c>
      <c r="D86" t="s">
        <v>3182</v>
      </c>
      <c r="I86" s="3" t="s">
        <v>3828</v>
      </c>
      <c r="J86" t="s">
        <v>423</v>
      </c>
      <c r="K86" t="s">
        <v>3829</v>
      </c>
      <c r="L86" s="2">
        <v>43831</v>
      </c>
      <c r="M86" s="17"/>
      <c r="N86" t="s">
        <v>3460</v>
      </c>
      <c r="V86" s="2">
        <v>43843</v>
      </c>
      <c r="X86" t="s">
        <v>453</v>
      </c>
      <c r="Y86" t="s">
        <v>68</v>
      </c>
      <c r="Z86" t="s">
        <v>730</v>
      </c>
    </row>
    <row r="87" spans="1:26" x14ac:dyDescent="0.2">
      <c r="A87" t="s">
        <v>3830</v>
      </c>
      <c r="B87" t="s">
        <v>3230</v>
      </c>
      <c r="D87" t="s">
        <v>3229</v>
      </c>
      <c r="E87" t="s">
        <v>3231</v>
      </c>
      <c r="I87" s="3" t="s">
        <v>3831</v>
      </c>
      <c r="J87" t="s">
        <v>407</v>
      </c>
      <c r="K87" t="s">
        <v>3832</v>
      </c>
      <c r="L87" s="2">
        <v>42979</v>
      </c>
      <c r="M87" s="2">
        <v>43983</v>
      </c>
      <c r="N87" t="s">
        <v>3494</v>
      </c>
      <c r="O87" t="s">
        <v>2116</v>
      </c>
      <c r="P87" t="s">
        <v>611</v>
      </c>
      <c r="Q87" t="s">
        <v>3833</v>
      </c>
      <c r="R87" s="2">
        <v>44202</v>
      </c>
      <c r="S87" s="2">
        <v>44204</v>
      </c>
      <c r="T87" t="s">
        <v>3494</v>
      </c>
      <c r="U87" t="s">
        <v>79</v>
      </c>
      <c r="V87" s="2">
        <v>43115</v>
      </c>
      <c r="W87" s="2">
        <v>43830</v>
      </c>
      <c r="X87" t="s">
        <v>51</v>
      </c>
    </row>
    <row r="88" spans="1:26" x14ac:dyDescent="0.2">
      <c r="A88" t="s">
        <v>3834</v>
      </c>
      <c r="B88" t="s">
        <v>1859</v>
      </c>
      <c r="D88" t="s">
        <v>732</v>
      </c>
      <c r="E88" t="s">
        <v>1860</v>
      </c>
      <c r="G88" t="s">
        <v>3835</v>
      </c>
      <c r="I88" s="3" t="s">
        <v>3836</v>
      </c>
      <c r="J88" t="s">
        <v>1862</v>
      </c>
      <c r="K88" t="s">
        <v>3837</v>
      </c>
      <c r="L88" s="2">
        <v>37895</v>
      </c>
      <c r="M88" s="2">
        <v>39448</v>
      </c>
      <c r="N88" t="s">
        <v>3838</v>
      </c>
      <c r="O88" t="s">
        <v>309</v>
      </c>
      <c r="P88" t="s">
        <v>1863</v>
      </c>
      <c r="Q88" t="s">
        <v>3839</v>
      </c>
      <c r="R88" s="2">
        <v>41641</v>
      </c>
      <c r="S88" s="2">
        <v>44567</v>
      </c>
      <c r="T88" t="s">
        <v>3460</v>
      </c>
      <c r="U88" t="s">
        <v>67</v>
      </c>
      <c r="V88" s="2">
        <v>37797</v>
      </c>
      <c r="W88" s="2">
        <v>39447</v>
      </c>
      <c r="X88" t="s">
        <v>51</v>
      </c>
    </row>
    <row r="89" spans="1:26" x14ac:dyDescent="0.2">
      <c r="A89" t="s">
        <v>3840</v>
      </c>
      <c r="B89" t="s">
        <v>1089</v>
      </c>
      <c r="D89" t="s">
        <v>1088</v>
      </c>
      <c r="E89" t="s">
        <v>1090</v>
      </c>
      <c r="I89" t="s">
        <v>1091</v>
      </c>
      <c r="J89" t="s">
        <v>2238</v>
      </c>
      <c r="K89" t="s">
        <v>3841</v>
      </c>
      <c r="L89" s="2"/>
      <c r="N89" t="s">
        <v>3460</v>
      </c>
      <c r="P89" t="s">
        <v>1093</v>
      </c>
      <c r="Q89" t="s">
        <v>3842</v>
      </c>
      <c r="R89" s="2">
        <v>43103</v>
      </c>
      <c r="S89" s="2">
        <v>44573</v>
      </c>
      <c r="T89" t="s">
        <v>3460</v>
      </c>
      <c r="U89" t="s">
        <v>309</v>
      </c>
      <c r="V89" s="2">
        <v>33240</v>
      </c>
      <c r="W89" s="2">
        <v>34236</v>
      </c>
      <c r="X89" t="s">
        <v>51</v>
      </c>
    </row>
    <row r="90" spans="1:26" x14ac:dyDescent="0.2">
      <c r="A90" t="s">
        <v>3843</v>
      </c>
      <c r="B90" t="s">
        <v>1089</v>
      </c>
      <c r="D90" t="s">
        <v>1746</v>
      </c>
      <c r="V90" s="2">
        <v>34236</v>
      </c>
      <c r="W90" s="2">
        <v>34347</v>
      </c>
      <c r="X90" t="s">
        <v>51</v>
      </c>
    </row>
    <row r="91" spans="1:26" x14ac:dyDescent="0.2">
      <c r="A91" t="s">
        <v>3844</v>
      </c>
      <c r="B91" t="s">
        <v>1089</v>
      </c>
      <c r="D91" t="s">
        <v>2396</v>
      </c>
      <c r="E91" t="s">
        <v>2397</v>
      </c>
      <c r="G91" t="s">
        <v>3845</v>
      </c>
      <c r="I91" t="s">
        <v>2398</v>
      </c>
      <c r="J91" t="s">
        <v>2399</v>
      </c>
      <c r="K91" t="s">
        <v>3846</v>
      </c>
      <c r="L91" s="25">
        <v>38718</v>
      </c>
      <c r="M91" s="25">
        <v>39813</v>
      </c>
      <c r="N91" t="s">
        <v>3460</v>
      </c>
      <c r="P91" t="s">
        <v>188</v>
      </c>
      <c r="Q91" t="s">
        <v>153</v>
      </c>
      <c r="R91" s="2">
        <v>42738</v>
      </c>
      <c r="S91" s="2">
        <v>44572</v>
      </c>
      <c r="T91" t="s">
        <v>3460</v>
      </c>
      <c r="U91" t="s">
        <v>79</v>
      </c>
      <c r="V91" s="2">
        <v>38860</v>
      </c>
      <c r="W91" s="2">
        <v>39406</v>
      </c>
      <c r="X91" t="s">
        <v>51</v>
      </c>
    </row>
    <row r="92" spans="1:26" x14ac:dyDescent="0.2">
      <c r="A92" t="s">
        <v>3847</v>
      </c>
      <c r="B92" t="s">
        <v>3848</v>
      </c>
      <c r="D92" t="s">
        <v>1152</v>
      </c>
      <c r="E92" t="s">
        <v>1159</v>
      </c>
      <c r="G92" t="s">
        <v>3849</v>
      </c>
      <c r="I92" t="s">
        <v>1160</v>
      </c>
      <c r="J92" t="s">
        <v>631</v>
      </c>
      <c r="K92" t="s">
        <v>51</v>
      </c>
      <c r="L92" s="2">
        <v>42767</v>
      </c>
      <c r="M92" s="2">
        <v>43191</v>
      </c>
      <c r="N92" t="s">
        <v>3494</v>
      </c>
      <c r="O92" t="s">
        <v>67</v>
      </c>
      <c r="P92" t="s">
        <v>3850</v>
      </c>
      <c r="Q92" t="s">
        <v>3851</v>
      </c>
      <c r="R92" s="2">
        <v>43466</v>
      </c>
      <c r="S92" s="2">
        <v>43477</v>
      </c>
      <c r="T92" t="s">
        <v>1151</v>
      </c>
      <c r="V92" s="2">
        <v>33419</v>
      </c>
      <c r="W92" s="2">
        <v>34233</v>
      </c>
      <c r="X92" t="s">
        <v>51</v>
      </c>
    </row>
    <row r="93" spans="1:26" x14ac:dyDescent="0.2">
      <c r="A93" t="s">
        <v>3852</v>
      </c>
      <c r="B93" t="s">
        <v>3848</v>
      </c>
      <c r="D93" t="s">
        <v>1933</v>
      </c>
      <c r="E93" t="s">
        <v>1934</v>
      </c>
      <c r="I93" t="s">
        <v>1935</v>
      </c>
      <c r="J93" t="s">
        <v>163</v>
      </c>
      <c r="K93" t="s">
        <v>3461</v>
      </c>
      <c r="L93" s="2">
        <v>42856</v>
      </c>
      <c r="M93" s="2">
        <v>43739</v>
      </c>
      <c r="N93" t="s">
        <v>3460</v>
      </c>
      <c r="O93" t="s">
        <v>67</v>
      </c>
      <c r="P93" t="s">
        <v>1447</v>
      </c>
      <c r="Q93" t="s">
        <v>3853</v>
      </c>
      <c r="R93" s="2">
        <v>44562</v>
      </c>
      <c r="S93" s="2">
        <v>44566</v>
      </c>
      <c r="T93" t="s">
        <v>3460</v>
      </c>
      <c r="U93" t="s">
        <v>67</v>
      </c>
      <c r="V93" s="2">
        <v>42886</v>
      </c>
      <c r="W93" s="2">
        <v>43831</v>
      </c>
      <c r="X93" t="s">
        <v>69</v>
      </c>
      <c r="Y93" t="s">
        <v>290</v>
      </c>
      <c r="Z93" t="s">
        <v>68</v>
      </c>
    </row>
    <row r="94" spans="1:26" x14ac:dyDescent="0.2">
      <c r="A94" t="s">
        <v>3854</v>
      </c>
      <c r="B94" t="s">
        <v>371</v>
      </c>
      <c r="D94" t="s">
        <v>370</v>
      </c>
      <c r="V94" s="2">
        <v>34431</v>
      </c>
      <c r="W94" s="2">
        <v>34633</v>
      </c>
      <c r="X94" t="s">
        <v>51</v>
      </c>
    </row>
    <row r="95" spans="1:26" x14ac:dyDescent="0.2">
      <c r="A95" t="s">
        <v>3855</v>
      </c>
      <c r="B95" t="s">
        <v>118</v>
      </c>
      <c r="D95" t="s">
        <v>117</v>
      </c>
      <c r="I95" t="s">
        <v>121</v>
      </c>
      <c r="J95" t="s">
        <v>3856</v>
      </c>
      <c r="K95" t="s">
        <v>3857</v>
      </c>
      <c r="L95" s="2">
        <v>43983</v>
      </c>
      <c r="M95" s="2">
        <v>44531</v>
      </c>
      <c r="N95" t="s">
        <v>123</v>
      </c>
      <c r="O95" t="s">
        <v>106</v>
      </c>
      <c r="P95" t="s">
        <v>3858</v>
      </c>
      <c r="Q95" t="s">
        <v>3859</v>
      </c>
      <c r="R95" s="2">
        <v>44201</v>
      </c>
      <c r="S95" s="2">
        <v>44197</v>
      </c>
      <c r="T95" t="s">
        <v>3860</v>
      </c>
      <c r="U95" t="s">
        <v>156</v>
      </c>
      <c r="X95" t="s">
        <v>51</v>
      </c>
    </row>
    <row r="96" spans="1:26" x14ac:dyDescent="0.2">
      <c r="A96" t="s">
        <v>3861</v>
      </c>
      <c r="B96" t="s">
        <v>3862</v>
      </c>
      <c r="D96" t="s">
        <v>3137</v>
      </c>
      <c r="E96" t="s">
        <v>3139</v>
      </c>
      <c r="G96" t="s">
        <v>3863</v>
      </c>
      <c r="H96" t="s">
        <v>3864</v>
      </c>
      <c r="I96" t="s">
        <v>3140</v>
      </c>
      <c r="J96" t="s">
        <v>3142</v>
      </c>
      <c r="K96" t="s">
        <v>3865</v>
      </c>
      <c r="L96" s="2"/>
      <c r="M96" s="2"/>
      <c r="N96" t="s">
        <v>3460</v>
      </c>
      <c r="O96" t="s">
        <v>1486</v>
      </c>
      <c r="P96" t="s">
        <v>3866</v>
      </c>
      <c r="Q96" t="s">
        <v>3867</v>
      </c>
      <c r="R96" s="2">
        <v>40555</v>
      </c>
      <c r="S96" s="2">
        <v>43106</v>
      </c>
      <c r="T96" t="s">
        <v>3460</v>
      </c>
      <c r="U96" t="s">
        <v>1486</v>
      </c>
      <c r="V96" s="2">
        <v>35104</v>
      </c>
      <c r="W96" s="2">
        <v>35394</v>
      </c>
      <c r="X96" t="s">
        <v>51</v>
      </c>
    </row>
    <row r="97" spans="1:24" x14ac:dyDescent="0.2">
      <c r="A97" t="s">
        <v>3868</v>
      </c>
      <c r="B97" t="s">
        <v>3869</v>
      </c>
      <c r="D97" t="s">
        <v>1095</v>
      </c>
      <c r="E97" t="s">
        <v>1097</v>
      </c>
      <c r="G97" t="s">
        <v>3870</v>
      </c>
      <c r="I97" t="s">
        <v>1098</v>
      </c>
      <c r="J97" t="s">
        <v>1099</v>
      </c>
      <c r="K97" t="s">
        <v>3871</v>
      </c>
      <c r="L97" s="25">
        <v>38353</v>
      </c>
      <c r="M97" s="25">
        <v>39447</v>
      </c>
      <c r="O97" t="s">
        <v>602</v>
      </c>
      <c r="P97" t="s">
        <v>1100</v>
      </c>
      <c r="Q97" t="s">
        <v>3872</v>
      </c>
      <c r="R97" s="2">
        <v>44935</v>
      </c>
      <c r="S97" s="2">
        <v>44199</v>
      </c>
      <c r="T97" t="s">
        <v>123</v>
      </c>
      <c r="X97" t="s">
        <v>51</v>
      </c>
    </row>
    <row r="98" spans="1:24" x14ac:dyDescent="0.2">
      <c r="A98" t="s">
        <v>3873</v>
      </c>
      <c r="B98" t="s">
        <v>1102</v>
      </c>
      <c r="D98" t="s">
        <v>1519</v>
      </c>
      <c r="E98" t="s">
        <v>1520</v>
      </c>
      <c r="G98" t="s">
        <v>3874</v>
      </c>
      <c r="J98" t="s">
        <v>3875</v>
      </c>
      <c r="K98" t="s">
        <v>3876</v>
      </c>
      <c r="L98" s="2"/>
      <c r="O98" t="s">
        <v>44</v>
      </c>
      <c r="P98" t="s">
        <v>3877</v>
      </c>
      <c r="Q98" t="s">
        <v>3878</v>
      </c>
      <c r="R98" s="2">
        <v>43111</v>
      </c>
      <c r="S98" s="2">
        <v>43477</v>
      </c>
      <c r="U98" t="s">
        <v>581</v>
      </c>
      <c r="X98" t="s">
        <v>51</v>
      </c>
    </row>
    <row r="99" spans="1:24" x14ac:dyDescent="0.2">
      <c r="A99" t="s">
        <v>3879</v>
      </c>
      <c r="B99" t="s">
        <v>3880</v>
      </c>
      <c r="D99" t="s">
        <v>853</v>
      </c>
      <c r="I99" t="s">
        <v>856</v>
      </c>
      <c r="J99" t="s">
        <v>658</v>
      </c>
      <c r="K99" t="s">
        <v>3881</v>
      </c>
      <c r="L99" s="2">
        <v>32874</v>
      </c>
      <c r="M99" s="2">
        <v>35430</v>
      </c>
      <c r="N99" t="s">
        <v>3460</v>
      </c>
      <c r="O99" t="s">
        <v>214</v>
      </c>
      <c r="P99" t="s">
        <v>858</v>
      </c>
      <c r="Q99" t="s">
        <v>3882</v>
      </c>
      <c r="R99" t="s">
        <v>3883</v>
      </c>
      <c r="T99" t="s">
        <v>3460</v>
      </c>
      <c r="U99" t="s">
        <v>156</v>
      </c>
      <c r="V99" s="2">
        <v>33240</v>
      </c>
      <c r="W99" s="2">
        <v>34233</v>
      </c>
      <c r="X99" t="s">
        <v>51</v>
      </c>
    </row>
    <row r="100" spans="1:24" x14ac:dyDescent="0.2">
      <c r="A100" t="s">
        <v>3884</v>
      </c>
      <c r="B100" t="s">
        <v>721</v>
      </c>
      <c r="D100" t="s">
        <v>720</v>
      </c>
      <c r="E100" t="s">
        <v>722</v>
      </c>
      <c r="I100" t="s">
        <v>3885</v>
      </c>
      <c r="J100" t="s">
        <v>723</v>
      </c>
      <c r="K100" t="s">
        <v>3555</v>
      </c>
      <c r="L100" s="2"/>
      <c r="N100" t="s">
        <v>3886</v>
      </c>
      <c r="O100" t="s">
        <v>602</v>
      </c>
      <c r="V100" s="2">
        <v>42513</v>
      </c>
      <c r="W100" s="2">
        <v>42894</v>
      </c>
      <c r="X100" t="s">
        <v>51</v>
      </c>
    </row>
    <row r="101" spans="1:24" x14ac:dyDescent="0.2">
      <c r="A101" t="s">
        <v>3887</v>
      </c>
      <c r="B101" t="s">
        <v>732</v>
      </c>
      <c r="D101" t="s">
        <v>731</v>
      </c>
      <c r="E101" t="s">
        <v>109</v>
      </c>
      <c r="I101" t="s">
        <v>3888</v>
      </c>
      <c r="J101" t="s">
        <v>3889</v>
      </c>
      <c r="K101" t="s">
        <v>3890</v>
      </c>
      <c r="L101" s="2">
        <v>40422</v>
      </c>
      <c r="M101" s="2">
        <v>41274</v>
      </c>
      <c r="N101" t="s">
        <v>252</v>
      </c>
      <c r="O101" t="s">
        <v>980</v>
      </c>
      <c r="P101" t="s">
        <v>3891</v>
      </c>
      <c r="Q101" t="s">
        <v>40</v>
      </c>
      <c r="R101" s="2">
        <v>40917</v>
      </c>
      <c r="S101" s="2">
        <v>40920</v>
      </c>
      <c r="T101" t="s">
        <v>3460</v>
      </c>
      <c r="U101" t="s">
        <v>79</v>
      </c>
      <c r="V101" s="2">
        <v>40190</v>
      </c>
      <c r="W101" s="2">
        <v>40288</v>
      </c>
      <c r="X101" t="s">
        <v>51</v>
      </c>
    </row>
    <row r="102" spans="1:24" x14ac:dyDescent="0.2">
      <c r="A102" t="s">
        <v>3892</v>
      </c>
      <c r="B102" t="s">
        <v>1000</v>
      </c>
      <c r="D102" t="s">
        <v>999</v>
      </c>
      <c r="E102" t="s">
        <v>1001</v>
      </c>
      <c r="G102" t="s">
        <v>3893</v>
      </c>
      <c r="I102" t="s">
        <v>1002</v>
      </c>
      <c r="J102" t="s">
        <v>1003</v>
      </c>
      <c r="K102" t="s">
        <v>3894</v>
      </c>
      <c r="L102" s="2">
        <v>35796</v>
      </c>
      <c r="M102" s="2">
        <v>37986</v>
      </c>
      <c r="N102" t="s">
        <v>3460</v>
      </c>
      <c r="O102" t="s">
        <v>156</v>
      </c>
      <c r="P102" t="s">
        <v>1004</v>
      </c>
      <c r="Q102" t="s">
        <v>3895</v>
      </c>
      <c r="R102" s="2">
        <v>42736</v>
      </c>
      <c r="S102" s="2">
        <v>44570</v>
      </c>
      <c r="T102" t="s">
        <v>3460</v>
      </c>
      <c r="U102" t="s">
        <v>156</v>
      </c>
      <c r="V102" s="2">
        <v>37013</v>
      </c>
      <c r="W102" s="2">
        <v>37151</v>
      </c>
      <c r="X102" t="s">
        <v>51</v>
      </c>
    </row>
    <row r="103" spans="1:24" x14ac:dyDescent="0.2">
      <c r="A103" t="s">
        <v>3896</v>
      </c>
      <c r="B103" t="s">
        <v>1000</v>
      </c>
      <c r="D103" t="s">
        <v>1046</v>
      </c>
      <c r="I103" t="s">
        <v>1048</v>
      </c>
      <c r="J103" t="s">
        <v>1049</v>
      </c>
      <c r="K103" t="s">
        <v>3897</v>
      </c>
      <c r="L103" s="2">
        <v>32509</v>
      </c>
      <c r="M103" s="2">
        <v>38352</v>
      </c>
      <c r="N103" t="s">
        <v>3460</v>
      </c>
      <c r="O103" t="s">
        <v>309</v>
      </c>
      <c r="P103" t="s">
        <v>1050</v>
      </c>
      <c r="Q103" t="s">
        <v>3898</v>
      </c>
      <c r="R103" s="2">
        <v>44568</v>
      </c>
      <c r="T103" t="s">
        <v>1052</v>
      </c>
      <c r="X103" t="s">
        <v>51</v>
      </c>
    </row>
    <row r="104" spans="1:24" x14ac:dyDescent="0.2">
      <c r="A104" t="s">
        <v>3899</v>
      </c>
      <c r="B104" t="s">
        <v>1000</v>
      </c>
      <c r="D104" t="s">
        <v>1811</v>
      </c>
      <c r="E104" t="s">
        <v>1812</v>
      </c>
      <c r="I104" t="s">
        <v>1813</v>
      </c>
      <c r="J104" t="s">
        <v>1814</v>
      </c>
      <c r="K104" t="s">
        <v>3900</v>
      </c>
      <c r="L104" s="2">
        <v>42278</v>
      </c>
      <c r="M104" s="2">
        <v>42522</v>
      </c>
      <c r="N104" t="s">
        <v>621</v>
      </c>
      <c r="P104" t="s">
        <v>1447</v>
      </c>
      <c r="Q104" t="s">
        <v>3901</v>
      </c>
      <c r="R104" s="2">
        <v>42744</v>
      </c>
      <c r="S104" s="2">
        <v>44197</v>
      </c>
      <c r="T104" t="s">
        <v>621</v>
      </c>
      <c r="U104" t="s">
        <v>67</v>
      </c>
      <c r="V104" s="2">
        <v>42380</v>
      </c>
      <c r="W104" s="2">
        <v>42534</v>
      </c>
      <c r="X104" t="s">
        <v>425</v>
      </c>
    </row>
    <row r="105" spans="1:24" x14ac:dyDescent="0.2">
      <c r="A105" t="s">
        <v>3902</v>
      </c>
      <c r="B105" t="s">
        <v>1000</v>
      </c>
      <c r="D105" t="s">
        <v>2902</v>
      </c>
      <c r="I105" t="s">
        <v>2909</v>
      </c>
      <c r="J105" t="s">
        <v>2910</v>
      </c>
      <c r="K105" t="s">
        <v>3903</v>
      </c>
      <c r="L105" s="2"/>
      <c r="N105" t="s">
        <v>3460</v>
      </c>
      <c r="O105" t="s">
        <v>309</v>
      </c>
      <c r="P105" t="s">
        <v>2911</v>
      </c>
      <c r="Q105" t="s">
        <v>3904</v>
      </c>
      <c r="R105" s="2">
        <v>44930</v>
      </c>
      <c r="S105" s="2">
        <v>44197</v>
      </c>
      <c r="V105" s="2">
        <v>36655</v>
      </c>
      <c r="W105" s="2">
        <v>38007</v>
      </c>
      <c r="X105" t="s">
        <v>51</v>
      </c>
    </row>
    <row r="106" spans="1:24" x14ac:dyDescent="0.2">
      <c r="A106" t="s">
        <v>3905</v>
      </c>
      <c r="B106" t="s">
        <v>1000</v>
      </c>
      <c r="D106" t="s">
        <v>3077</v>
      </c>
      <c r="E106" t="s">
        <v>3078</v>
      </c>
      <c r="I106" t="s">
        <v>3079</v>
      </c>
      <c r="J106" t="s">
        <v>3082</v>
      </c>
      <c r="K106" t="s">
        <v>3906</v>
      </c>
      <c r="L106" s="25">
        <v>40909</v>
      </c>
      <c r="M106" s="25">
        <v>43100</v>
      </c>
      <c r="O106" t="s">
        <v>388</v>
      </c>
      <c r="V106" s="2">
        <v>41799</v>
      </c>
      <c r="W106" s="2">
        <v>42123</v>
      </c>
      <c r="X106" t="s">
        <v>51</v>
      </c>
    </row>
    <row r="107" spans="1:24" ht="68" x14ac:dyDescent="0.2">
      <c r="A107" t="s">
        <v>3907</v>
      </c>
      <c r="B107" t="s">
        <v>1939</v>
      </c>
      <c r="D107" t="s">
        <v>3038</v>
      </c>
      <c r="E107" t="s">
        <v>3039</v>
      </c>
      <c r="G107" t="s">
        <v>3908</v>
      </c>
      <c r="I107" t="s">
        <v>3040</v>
      </c>
      <c r="J107" t="s">
        <v>3909</v>
      </c>
      <c r="K107" t="s">
        <v>3910</v>
      </c>
      <c r="L107" s="25">
        <v>37987</v>
      </c>
      <c r="M107" s="25">
        <v>39082</v>
      </c>
      <c r="N107" t="s">
        <v>401</v>
      </c>
      <c r="P107" t="s">
        <v>3042</v>
      </c>
      <c r="Q107" s="6" t="s">
        <v>3911</v>
      </c>
      <c r="R107" s="2">
        <v>42738</v>
      </c>
      <c r="S107" s="2">
        <v>44197</v>
      </c>
      <c r="T107" t="s">
        <v>401</v>
      </c>
      <c r="U107" t="s">
        <v>602</v>
      </c>
      <c r="V107" s="2">
        <v>38007</v>
      </c>
      <c r="W107" s="2">
        <v>38860</v>
      </c>
      <c r="X107" t="s">
        <v>51</v>
      </c>
    </row>
    <row r="108" spans="1:24" ht="187" x14ac:dyDescent="0.2">
      <c r="A108" t="s">
        <v>3912</v>
      </c>
      <c r="B108" t="s">
        <v>799</v>
      </c>
      <c r="D108" t="s">
        <v>1487</v>
      </c>
      <c r="E108" t="s">
        <v>1488</v>
      </c>
      <c r="G108" t="s">
        <v>3913</v>
      </c>
      <c r="I108" t="s">
        <v>1489</v>
      </c>
      <c r="J108" t="s">
        <v>3914</v>
      </c>
      <c r="K108" s="6" t="s">
        <v>3915</v>
      </c>
      <c r="L108" s="25">
        <v>37622</v>
      </c>
      <c r="M108" s="25">
        <v>39813</v>
      </c>
      <c r="N108" t="s">
        <v>401</v>
      </c>
      <c r="O108" t="s">
        <v>602</v>
      </c>
      <c r="P108" t="s">
        <v>1491</v>
      </c>
      <c r="Q108" t="s">
        <v>3916</v>
      </c>
      <c r="R108" s="2">
        <v>44928</v>
      </c>
      <c r="S108" s="2">
        <v>42373</v>
      </c>
      <c r="U108" t="s">
        <v>156</v>
      </c>
      <c r="V108" s="2">
        <v>39098</v>
      </c>
      <c r="W108" s="2">
        <v>39406</v>
      </c>
      <c r="X108" t="s">
        <v>51</v>
      </c>
    </row>
    <row r="109" spans="1:24" x14ac:dyDescent="0.2">
      <c r="A109" t="s">
        <v>3917</v>
      </c>
      <c r="B109" t="s">
        <v>799</v>
      </c>
      <c r="D109" t="s">
        <v>1792</v>
      </c>
      <c r="E109" t="s">
        <v>1793</v>
      </c>
      <c r="G109" t="s">
        <v>3918</v>
      </c>
      <c r="I109" t="s">
        <v>1794</v>
      </c>
      <c r="J109" t="s">
        <v>1796</v>
      </c>
      <c r="K109" t="s">
        <v>3919</v>
      </c>
      <c r="N109" t="s">
        <v>1797</v>
      </c>
      <c r="O109" t="s">
        <v>174</v>
      </c>
      <c r="P109" t="s">
        <v>3920</v>
      </c>
      <c r="Q109" t="s">
        <v>3657</v>
      </c>
      <c r="R109" s="2">
        <v>42736</v>
      </c>
      <c r="U109" t="s">
        <v>214</v>
      </c>
      <c r="V109" s="2">
        <v>37642</v>
      </c>
      <c r="W109" s="2">
        <v>38007</v>
      </c>
      <c r="X109" t="s">
        <v>51</v>
      </c>
    </row>
    <row r="110" spans="1:24" x14ac:dyDescent="0.2">
      <c r="A110" t="s">
        <v>3921</v>
      </c>
      <c r="B110" t="s">
        <v>799</v>
      </c>
      <c r="D110" t="s">
        <v>798</v>
      </c>
      <c r="E110" t="s">
        <v>800</v>
      </c>
      <c r="G110" t="s">
        <v>3922</v>
      </c>
      <c r="I110" t="s">
        <v>801</v>
      </c>
      <c r="J110" t="s">
        <v>3923</v>
      </c>
      <c r="K110" t="s">
        <v>3924</v>
      </c>
      <c r="L110" s="25">
        <v>37987</v>
      </c>
      <c r="M110" s="25">
        <v>40543</v>
      </c>
      <c r="N110" t="s">
        <v>3460</v>
      </c>
      <c r="P110" t="s">
        <v>3925</v>
      </c>
      <c r="Q110" t="s">
        <v>3926</v>
      </c>
      <c r="R110" s="2">
        <v>44201</v>
      </c>
      <c r="S110" s="2">
        <v>44197</v>
      </c>
      <c r="U110" t="s">
        <v>67</v>
      </c>
      <c r="V110" s="2">
        <v>38356</v>
      </c>
      <c r="W110" s="2">
        <v>39083</v>
      </c>
      <c r="X110" t="s">
        <v>453</v>
      </c>
    </row>
    <row r="111" spans="1:24" x14ac:dyDescent="0.2">
      <c r="A111" t="s">
        <v>3927</v>
      </c>
      <c r="B111" t="s">
        <v>799</v>
      </c>
      <c r="C111" t="s">
        <v>3928</v>
      </c>
      <c r="D111" t="s">
        <v>2814</v>
      </c>
      <c r="I111" t="s">
        <v>2816</v>
      </c>
      <c r="J111" t="s">
        <v>368</v>
      </c>
      <c r="K111" t="s">
        <v>51</v>
      </c>
      <c r="L111" s="2">
        <v>43497</v>
      </c>
      <c r="M111" s="2">
        <v>44256</v>
      </c>
      <c r="N111" t="s">
        <v>3460</v>
      </c>
      <c r="O111" t="s">
        <v>67</v>
      </c>
      <c r="P111" t="s">
        <v>3929</v>
      </c>
      <c r="Q111" t="s">
        <v>3930</v>
      </c>
      <c r="R111" s="2">
        <v>44199</v>
      </c>
      <c r="S111" s="2">
        <v>44204</v>
      </c>
      <c r="T111" t="s">
        <v>2818</v>
      </c>
      <c r="U111" t="s">
        <v>388</v>
      </c>
      <c r="V111" s="2">
        <v>43626</v>
      </c>
      <c r="W111" s="2">
        <v>44627</v>
      </c>
      <c r="X111" t="s">
        <v>51</v>
      </c>
    </row>
    <row r="112" spans="1:24" x14ac:dyDescent="0.2">
      <c r="A112" t="s">
        <v>3931</v>
      </c>
      <c r="B112" t="s">
        <v>648</v>
      </c>
      <c r="D112" t="s">
        <v>647</v>
      </c>
      <c r="I112" t="s">
        <v>649</v>
      </c>
      <c r="J112" t="s">
        <v>3932</v>
      </c>
      <c r="K112" t="s">
        <v>64</v>
      </c>
      <c r="L112" s="2">
        <v>39479</v>
      </c>
      <c r="M112" s="2">
        <v>39995</v>
      </c>
      <c r="N112" t="s">
        <v>3494</v>
      </c>
      <c r="O112" t="s">
        <v>67</v>
      </c>
      <c r="P112" t="s">
        <v>651</v>
      </c>
      <c r="Q112" t="s">
        <v>3933</v>
      </c>
      <c r="R112" s="2">
        <v>41276</v>
      </c>
      <c r="S112" s="2">
        <v>41282</v>
      </c>
      <c r="V112" s="2">
        <v>39602</v>
      </c>
      <c r="W112" s="2">
        <v>40330</v>
      </c>
      <c r="X112" t="s">
        <v>290</v>
      </c>
    </row>
    <row r="113" spans="1:25" x14ac:dyDescent="0.2">
      <c r="A113" t="s">
        <v>3934</v>
      </c>
      <c r="B113" t="s">
        <v>1275</v>
      </c>
      <c r="D113" t="s">
        <v>3935</v>
      </c>
      <c r="E113" t="s">
        <v>1276</v>
      </c>
      <c r="I113" t="s">
        <v>1277</v>
      </c>
      <c r="J113" t="s">
        <v>816</v>
      </c>
      <c r="K113" t="s">
        <v>3936</v>
      </c>
      <c r="L113" s="2">
        <v>42064</v>
      </c>
      <c r="M113" s="2">
        <v>42491</v>
      </c>
      <c r="N113" t="s">
        <v>3494</v>
      </c>
      <c r="O113" t="s">
        <v>79</v>
      </c>
      <c r="P113" t="s">
        <v>3937</v>
      </c>
      <c r="Q113" t="s">
        <v>3938</v>
      </c>
      <c r="R113" s="2">
        <v>43466</v>
      </c>
      <c r="S113" s="2">
        <v>44202</v>
      </c>
      <c r="T113" t="s">
        <v>3460</v>
      </c>
      <c r="U113" t="s">
        <v>214</v>
      </c>
      <c r="V113" s="2">
        <v>42159</v>
      </c>
      <c r="W113" s="2">
        <v>42506</v>
      </c>
      <c r="X113" t="s">
        <v>51</v>
      </c>
    </row>
    <row r="114" spans="1:25" x14ac:dyDescent="0.2">
      <c r="A114" t="s">
        <v>3939</v>
      </c>
      <c r="B114" t="s">
        <v>1275</v>
      </c>
      <c r="D114" t="s">
        <v>3940</v>
      </c>
      <c r="E114" t="s">
        <v>1848</v>
      </c>
      <c r="I114" t="s">
        <v>1849</v>
      </c>
      <c r="J114" t="s">
        <v>3941</v>
      </c>
      <c r="K114" t="s">
        <v>3942</v>
      </c>
      <c r="L114" s="25">
        <v>31778</v>
      </c>
      <c r="M114" s="25">
        <v>33969</v>
      </c>
      <c r="O114" t="s">
        <v>106</v>
      </c>
      <c r="P114" t="s">
        <v>3943</v>
      </c>
      <c r="Q114" t="s">
        <v>3944</v>
      </c>
      <c r="R114" s="2">
        <v>44562</v>
      </c>
      <c r="T114" t="s">
        <v>401</v>
      </c>
      <c r="X114" t="s">
        <v>51</v>
      </c>
    </row>
    <row r="115" spans="1:25" ht="85" x14ac:dyDescent="0.2">
      <c r="A115" t="s">
        <v>3945</v>
      </c>
      <c r="B115" t="s">
        <v>1275</v>
      </c>
      <c r="D115" t="s">
        <v>2453</v>
      </c>
      <c r="E115" t="s">
        <v>2454</v>
      </c>
      <c r="G115" t="s">
        <v>3946</v>
      </c>
      <c r="I115" t="s">
        <v>2455</v>
      </c>
      <c r="J115" t="s">
        <v>631</v>
      </c>
      <c r="K115" t="s">
        <v>51</v>
      </c>
      <c r="L115" s="2">
        <v>43709</v>
      </c>
      <c r="M115" s="2">
        <v>44562</v>
      </c>
      <c r="N115" t="s">
        <v>3460</v>
      </c>
      <c r="O115" t="s">
        <v>67</v>
      </c>
      <c r="P115" t="s">
        <v>657</v>
      </c>
      <c r="Q115" s="6" t="s">
        <v>3947</v>
      </c>
      <c r="R115" s="2">
        <v>44568</v>
      </c>
      <c r="S115" s="2">
        <v>44569</v>
      </c>
      <c r="T115" t="s">
        <v>3494</v>
      </c>
      <c r="U115" t="s">
        <v>79</v>
      </c>
      <c r="V115" s="2">
        <v>43843</v>
      </c>
      <c r="X115" t="s">
        <v>51</v>
      </c>
    </row>
    <row r="116" spans="1:25" ht="153" x14ac:dyDescent="0.2">
      <c r="A116" t="s">
        <v>3948</v>
      </c>
      <c r="B116" t="s">
        <v>904</v>
      </c>
      <c r="D116" t="s">
        <v>903</v>
      </c>
      <c r="E116" t="s">
        <v>905</v>
      </c>
      <c r="G116" t="s">
        <v>3949</v>
      </c>
      <c r="I116" t="s">
        <v>906</v>
      </c>
      <c r="J116" t="s">
        <v>3950</v>
      </c>
      <c r="K116" s="6" t="s">
        <v>3951</v>
      </c>
      <c r="L116" s="2">
        <v>39142</v>
      </c>
      <c r="M116" s="2">
        <v>40603</v>
      </c>
      <c r="P116" t="s">
        <v>909</v>
      </c>
      <c r="Q116" s="6" t="s">
        <v>3952</v>
      </c>
      <c r="R116" s="2">
        <v>41281</v>
      </c>
      <c r="S116" s="2">
        <v>44568</v>
      </c>
      <c r="T116" t="s">
        <v>910</v>
      </c>
      <c r="U116" t="s">
        <v>912</v>
      </c>
      <c r="V116" s="2">
        <v>39238</v>
      </c>
      <c r="W116" s="2">
        <v>40197</v>
      </c>
      <c r="X116" t="s">
        <v>157</v>
      </c>
    </row>
    <row r="117" spans="1:25" x14ac:dyDescent="0.2">
      <c r="A117" t="s">
        <v>3953</v>
      </c>
      <c r="B117" t="s">
        <v>904</v>
      </c>
      <c r="D117" t="s">
        <v>3058</v>
      </c>
      <c r="G117" t="s">
        <v>3954</v>
      </c>
      <c r="I117" t="s">
        <v>3060</v>
      </c>
      <c r="J117" t="s">
        <v>3955</v>
      </c>
      <c r="K117" t="s">
        <v>3956</v>
      </c>
      <c r="L117" s="25">
        <v>34335</v>
      </c>
      <c r="M117" s="25">
        <v>36891</v>
      </c>
      <c r="N117" t="s">
        <v>3460</v>
      </c>
      <c r="O117" t="s">
        <v>156</v>
      </c>
      <c r="P117" t="s">
        <v>3957</v>
      </c>
      <c r="Q117" t="s">
        <v>3958</v>
      </c>
      <c r="R117" s="2">
        <v>40549</v>
      </c>
      <c r="S117" s="2">
        <v>42010</v>
      </c>
      <c r="T117" t="s">
        <v>3460</v>
      </c>
      <c r="U117" t="s">
        <v>67</v>
      </c>
      <c r="V117" s="2">
        <v>36515</v>
      </c>
      <c r="W117" s="2">
        <v>37298</v>
      </c>
      <c r="X117" t="s">
        <v>51</v>
      </c>
    </row>
    <row r="118" spans="1:25" x14ac:dyDescent="0.2">
      <c r="A118" t="s">
        <v>3959</v>
      </c>
      <c r="B118" t="s">
        <v>3960</v>
      </c>
      <c r="D118" t="s">
        <v>3961</v>
      </c>
      <c r="I118" t="s">
        <v>3962</v>
      </c>
      <c r="J118" t="s">
        <v>163</v>
      </c>
      <c r="K118" t="s">
        <v>3963</v>
      </c>
      <c r="L118" s="2">
        <v>42491</v>
      </c>
      <c r="M118" s="2">
        <v>42736</v>
      </c>
      <c r="O118" t="s">
        <v>67</v>
      </c>
      <c r="P118" t="s">
        <v>1664</v>
      </c>
      <c r="Q118" t="s">
        <v>3964</v>
      </c>
      <c r="R118" s="2">
        <v>42736</v>
      </c>
      <c r="U118" t="s">
        <v>106</v>
      </c>
      <c r="V118" s="2">
        <v>42513</v>
      </c>
      <c r="W118" s="2">
        <v>42751</v>
      </c>
      <c r="X118" t="s">
        <v>425</v>
      </c>
    </row>
    <row r="119" spans="1:25" x14ac:dyDescent="0.2">
      <c r="A119" t="s">
        <v>3965</v>
      </c>
      <c r="B119" t="s">
        <v>3966</v>
      </c>
      <c r="D119" t="s">
        <v>3967</v>
      </c>
      <c r="E119" t="s">
        <v>958</v>
      </c>
      <c r="G119" t="s">
        <v>3968</v>
      </c>
      <c r="I119" t="s">
        <v>960</v>
      </c>
      <c r="J119" t="s">
        <v>3969</v>
      </c>
      <c r="K119" t="s">
        <v>3970</v>
      </c>
      <c r="L119" s="2">
        <v>43466</v>
      </c>
      <c r="M119" s="2">
        <v>44228</v>
      </c>
      <c r="N119" t="s">
        <v>3460</v>
      </c>
      <c r="O119" t="s">
        <v>214</v>
      </c>
      <c r="P119" t="s">
        <v>961</v>
      </c>
      <c r="Q119" t="s">
        <v>3971</v>
      </c>
      <c r="R119" s="2">
        <v>44563</v>
      </c>
      <c r="S119" s="2">
        <v>44566</v>
      </c>
      <c r="T119" t="s">
        <v>639</v>
      </c>
      <c r="U119" t="s">
        <v>2116</v>
      </c>
      <c r="X119" t="s">
        <v>453</v>
      </c>
      <c r="Y119" t="s">
        <v>68</v>
      </c>
    </row>
    <row r="120" spans="1:25" x14ac:dyDescent="0.2">
      <c r="A120" t="s">
        <v>3972</v>
      </c>
      <c r="B120" t="s">
        <v>3973</v>
      </c>
      <c r="D120" t="s">
        <v>206</v>
      </c>
      <c r="E120" t="s">
        <v>208</v>
      </c>
      <c r="I120" t="s">
        <v>209</v>
      </c>
      <c r="J120" t="s">
        <v>3974</v>
      </c>
      <c r="K120" t="s">
        <v>3837</v>
      </c>
      <c r="L120" s="25">
        <v>40909</v>
      </c>
      <c r="M120" s="25">
        <v>42369</v>
      </c>
      <c r="N120" t="s">
        <v>123</v>
      </c>
      <c r="P120" t="s">
        <v>211</v>
      </c>
      <c r="Q120" t="s">
        <v>3975</v>
      </c>
      <c r="R120" s="2">
        <v>43473</v>
      </c>
      <c r="T120" t="s">
        <v>123</v>
      </c>
      <c r="U120" t="s">
        <v>214</v>
      </c>
      <c r="V120" s="2">
        <v>41310</v>
      </c>
      <c r="W120" s="2">
        <v>42135</v>
      </c>
      <c r="X120" t="s">
        <v>51</v>
      </c>
    </row>
    <row r="121" spans="1:25" x14ac:dyDescent="0.2">
      <c r="A121" t="s">
        <v>3976</v>
      </c>
      <c r="B121" t="s">
        <v>359</v>
      </c>
      <c r="D121" t="s">
        <v>763</v>
      </c>
      <c r="E121" t="s">
        <v>764</v>
      </c>
      <c r="I121" t="s">
        <v>765</v>
      </c>
      <c r="J121" t="s">
        <v>766</v>
      </c>
      <c r="K121" t="s">
        <v>3977</v>
      </c>
      <c r="L121" s="25">
        <v>37987</v>
      </c>
      <c r="M121" s="25">
        <v>39082</v>
      </c>
      <c r="N121" t="s">
        <v>401</v>
      </c>
      <c r="P121" t="s">
        <v>767</v>
      </c>
      <c r="Q121" t="s">
        <v>3978</v>
      </c>
      <c r="R121" s="2">
        <v>41276</v>
      </c>
      <c r="S121" s="2">
        <v>42010</v>
      </c>
      <c r="T121" t="s">
        <v>3979</v>
      </c>
      <c r="U121" t="s">
        <v>156</v>
      </c>
      <c r="V121" s="2">
        <v>37797</v>
      </c>
      <c r="W121" s="2">
        <v>38007</v>
      </c>
      <c r="X121" t="s">
        <v>51</v>
      </c>
    </row>
    <row r="122" spans="1:25" x14ac:dyDescent="0.2">
      <c r="A122" t="s">
        <v>3980</v>
      </c>
      <c r="B122" t="s">
        <v>359</v>
      </c>
      <c r="D122" t="s">
        <v>1936</v>
      </c>
      <c r="E122" t="s">
        <v>1937</v>
      </c>
      <c r="I122" t="s">
        <v>1938</v>
      </c>
      <c r="J122" t="s">
        <v>171</v>
      </c>
      <c r="K122" t="s">
        <v>3555</v>
      </c>
      <c r="L122" s="2">
        <v>44228</v>
      </c>
      <c r="M122" s="28"/>
      <c r="N122" t="s">
        <v>3460</v>
      </c>
      <c r="O122" t="s">
        <v>67</v>
      </c>
      <c r="P122" t="s">
        <v>3981</v>
      </c>
      <c r="Q122" t="s">
        <v>3982</v>
      </c>
      <c r="R122" s="2">
        <v>42378</v>
      </c>
      <c r="S122" s="2">
        <v>42380</v>
      </c>
      <c r="T122" t="s">
        <v>3983</v>
      </c>
      <c r="U122" t="s">
        <v>67</v>
      </c>
      <c r="X122" t="s">
        <v>51</v>
      </c>
    </row>
    <row r="123" spans="1:25" x14ac:dyDescent="0.2">
      <c r="A123" t="s">
        <v>3984</v>
      </c>
      <c r="B123" t="s">
        <v>359</v>
      </c>
      <c r="D123" t="s">
        <v>2142</v>
      </c>
      <c r="E123" t="s">
        <v>2143</v>
      </c>
      <c r="I123" t="s">
        <v>2144</v>
      </c>
      <c r="J123" t="s">
        <v>3619</v>
      </c>
      <c r="K123" t="s">
        <v>3501</v>
      </c>
      <c r="L123" s="2">
        <v>40817</v>
      </c>
      <c r="M123" s="2">
        <v>42005</v>
      </c>
      <c r="N123" t="s">
        <v>3460</v>
      </c>
      <c r="O123" t="s">
        <v>67</v>
      </c>
      <c r="P123" t="s">
        <v>3256</v>
      </c>
      <c r="Q123" t="s">
        <v>3501</v>
      </c>
      <c r="R123" s="2">
        <v>43466</v>
      </c>
      <c r="S123" s="2">
        <v>44198</v>
      </c>
      <c r="T123" t="s">
        <v>3460</v>
      </c>
      <c r="U123" t="s">
        <v>67</v>
      </c>
      <c r="V123" s="2">
        <v>40567</v>
      </c>
      <c r="W123" s="2">
        <v>42016</v>
      </c>
      <c r="X123" t="s">
        <v>51</v>
      </c>
    </row>
    <row r="124" spans="1:25" x14ac:dyDescent="0.2">
      <c r="A124" t="s">
        <v>3985</v>
      </c>
      <c r="B124" t="s">
        <v>359</v>
      </c>
      <c r="D124" t="s">
        <v>2279</v>
      </c>
      <c r="E124" t="s">
        <v>2281</v>
      </c>
      <c r="G124" t="s">
        <v>3986</v>
      </c>
      <c r="I124" t="s">
        <v>3987</v>
      </c>
      <c r="J124" t="s">
        <v>3988</v>
      </c>
      <c r="K124" t="s">
        <v>3989</v>
      </c>
      <c r="L124" s="25">
        <v>36161</v>
      </c>
      <c r="M124" s="25">
        <v>38352</v>
      </c>
      <c r="N124" t="s">
        <v>3460</v>
      </c>
      <c r="O124" t="s">
        <v>156</v>
      </c>
      <c r="P124" t="s">
        <v>2284</v>
      </c>
      <c r="Q124" t="s">
        <v>3990</v>
      </c>
      <c r="R124" s="2">
        <v>44933</v>
      </c>
      <c r="S124" s="2">
        <v>46028</v>
      </c>
      <c r="U124" t="s">
        <v>325</v>
      </c>
      <c r="V124" s="2">
        <v>37013</v>
      </c>
      <c r="W124" s="2">
        <v>37649</v>
      </c>
      <c r="X124" t="s">
        <v>51</v>
      </c>
    </row>
    <row r="125" spans="1:25" x14ac:dyDescent="0.2">
      <c r="A125" t="s">
        <v>3991</v>
      </c>
      <c r="B125" t="s">
        <v>359</v>
      </c>
      <c r="D125" t="s">
        <v>2969</v>
      </c>
      <c r="I125" t="s">
        <v>2972</v>
      </c>
      <c r="J125" t="s">
        <v>2973</v>
      </c>
      <c r="K125" t="s">
        <v>3992</v>
      </c>
      <c r="L125" s="25">
        <v>33970</v>
      </c>
      <c r="M125" s="25">
        <v>36160</v>
      </c>
      <c r="N125" t="s">
        <v>3460</v>
      </c>
      <c r="O125" t="s">
        <v>46</v>
      </c>
      <c r="P125" t="s">
        <v>3993</v>
      </c>
      <c r="Q125" t="s">
        <v>3994</v>
      </c>
      <c r="R125" s="2">
        <v>44933</v>
      </c>
      <c r="S125" s="2">
        <v>41281</v>
      </c>
      <c r="T125" t="s">
        <v>2975</v>
      </c>
      <c r="U125" t="s">
        <v>46</v>
      </c>
      <c r="V125" s="2">
        <v>34789</v>
      </c>
      <c r="W125" s="2">
        <v>35185</v>
      </c>
      <c r="X125" t="s">
        <v>51</v>
      </c>
    </row>
    <row r="126" spans="1:25" x14ac:dyDescent="0.2">
      <c r="A126" t="s">
        <v>3995</v>
      </c>
      <c r="B126" t="s">
        <v>1006</v>
      </c>
      <c r="C126" t="s">
        <v>3996</v>
      </c>
      <c r="D126" t="s">
        <v>2472</v>
      </c>
      <c r="E126" t="s">
        <v>3997</v>
      </c>
      <c r="G126" t="s">
        <v>3998</v>
      </c>
      <c r="I126" t="s">
        <v>3999</v>
      </c>
      <c r="J126" t="s">
        <v>424</v>
      </c>
      <c r="K126" t="s">
        <v>3773</v>
      </c>
      <c r="L126" s="2">
        <v>42614</v>
      </c>
      <c r="M126" s="2">
        <v>42979</v>
      </c>
      <c r="N126" t="s">
        <v>3460</v>
      </c>
      <c r="O126" t="s">
        <v>106</v>
      </c>
      <c r="P126" t="s">
        <v>4000</v>
      </c>
      <c r="Q126" t="s">
        <v>4001</v>
      </c>
      <c r="R126" s="2">
        <v>42741</v>
      </c>
      <c r="S126" s="2">
        <v>42743</v>
      </c>
      <c r="T126" t="s">
        <v>4002</v>
      </c>
      <c r="U126" t="s">
        <v>67</v>
      </c>
      <c r="V126" s="2">
        <v>42751</v>
      </c>
      <c r="W126" s="2">
        <v>43003</v>
      </c>
      <c r="X126" t="s">
        <v>51</v>
      </c>
    </row>
    <row r="127" spans="1:25" x14ac:dyDescent="0.2">
      <c r="A127" t="s">
        <v>4003</v>
      </c>
      <c r="B127" t="s">
        <v>1006</v>
      </c>
      <c r="D127" t="s">
        <v>1005</v>
      </c>
      <c r="E127" t="s">
        <v>1007</v>
      </c>
      <c r="G127" t="s">
        <v>4004</v>
      </c>
      <c r="I127" t="s">
        <v>1009</v>
      </c>
      <c r="J127" t="s">
        <v>3256</v>
      </c>
      <c r="K127" t="s">
        <v>4005</v>
      </c>
      <c r="L127" s="25">
        <v>35431</v>
      </c>
      <c r="M127" s="25">
        <v>37256</v>
      </c>
      <c r="N127" t="s">
        <v>3460</v>
      </c>
      <c r="O127" t="s">
        <v>2116</v>
      </c>
      <c r="P127" t="s">
        <v>631</v>
      </c>
      <c r="Q127" t="s">
        <v>4006</v>
      </c>
      <c r="R127" s="2">
        <v>44932</v>
      </c>
      <c r="S127" s="2">
        <v>41282</v>
      </c>
      <c r="U127" t="s">
        <v>67</v>
      </c>
      <c r="V127" s="2">
        <v>36121</v>
      </c>
      <c r="W127" s="2">
        <v>37151</v>
      </c>
      <c r="X127" t="s">
        <v>4007</v>
      </c>
    </row>
    <row r="128" spans="1:25" x14ac:dyDescent="0.2">
      <c r="A128" t="s">
        <v>4008</v>
      </c>
      <c r="B128" t="s">
        <v>1006</v>
      </c>
      <c r="D128" t="s">
        <v>2472</v>
      </c>
      <c r="V128" s="2">
        <v>42751</v>
      </c>
      <c r="W128" s="2">
        <v>43003</v>
      </c>
      <c r="X128" t="s">
        <v>51</v>
      </c>
    </row>
    <row r="129" spans="1:24" x14ac:dyDescent="0.2">
      <c r="A129" t="s">
        <v>4009</v>
      </c>
      <c r="B129" t="s">
        <v>1022</v>
      </c>
      <c r="D129" t="s">
        <v>1021</v>
      </c>
      <c r="E129" t="s">
        <v>1023</v>
      </c>
      <c r="G129" t="s">
        <v>4010</v>
      </c>
      <c r="I129" t="s">
        <v>1024</v>
      </c>
      <c r="J129" t="s">
        <v>1026</v>
      </c>
      <c r="K129" t="s">
        <v>4011</v>
      </c>
      <c r="L129" s="2">
        <v>42430</v>
      </c>
      <c r="M129" s="2">
        <v>42979</v>
      </c>
      <c r="N129" t="s">
        <v>4012</v>
      </c>
      <c r="P129" t="s">
        <v>2080</v>
      </c>
      <c r="Q129" t="s">
        <v>4013</v>
      </c>
      <c r="R129" s="2">
        <v>43474</v>
      </c>
      <c r="S129" s="2">
        <v>44572</v>
      </c>
      <c r="T129" t="s">
        <v>3460</v>
      </c>
      <c r="U129" t="s">
        <v>67</v>
      </c>
      <c r="V129" s="2">
        <v>42513</v>
      </c>
      <c r="W129" s="2">
        <v>43157</v>
      </c>
      <c r="X129" t="s">
        <v>290</v>
      </c>
    </row>
    <row r="130" spans="1:24" x14ac:dyDescent="0.2">
      <c r="A130" t="s">
        <v>4014</v>
      </c>
      <c r="B130" t="s">
        <v>2624</v>
      </c>
      <c r="D130" t="s">
        <v>2623</v>
      </c>
      <c r="V130" s="2">
        <v>35488</v>
      </c>
      <c r="W130" s="2">
        <v>35674</v>
      </c>
      <c r="X130" t="s">
        <v>51</v>
      </c>
    </row>
    <row r="131" spans="1:24" x14ac:dyDescent="0.2">
      <c r="A131" t="s">
        <v>4015</v>
      </c>
      <c r="B131" t="s">
        <v>2770</v>
      </c>
      <c r="D131" t="s">
        <v>2769</v>
      </c>
      <c r="V131" s="2">
        <v>33419</v>
      </c>
      <c r="W131" s="2">
        <v>34233</v>
      </c>
      <c r="X131" t="s">
        <v>51</v>
      </c>
    </row>
    <row r="132" spans="1:24" ht="85" x14ac:dyDescent="0.2">
      <c r="A132" t="s">
        <v>4016</v>
      </c>
      <c r="B132" t="s">
        <v>813</v>
      </c>
      <c r="D132" t="s">
        <v>812</v>
      </c>
      <c r="E132" t="s">
        <v>814</v>
      </c>
      <c r="I132" t="s">
        <v>815</v>
      </c>
      <c r="J132" t="s">
        <v>3858</v>
      </c>
      <c r="K132" t="s">
        <v>4017</v>
      </c>
      <c r="L132" s="2">
        <v>43525</v>
      </c>
      <c r="M132" s="2">
        <v>44348</v>
      </c>
      <c r="N132" t="s">
        <v>4018</v>
      </c>
      <c r="O132" t="s">
        <v>156</v>
      </c>
      <c r="P132" t="s">
        <v>816</v>
      </c>
      <c r="Q132" s="6" t="s">
        <v>4019</v>
      </c>
      <c r="R132" s="2">
        <v>44570</v>
      </c>
      <c r="S132" s="2">
        <v>44573</v>
      </c>
      <c r="T132" t="s">
        <v>4012</v>
      </c>
      <c r="U132" t="s">
        <v>79</v>
      </c>
      <c r="V132" s="2">
        <v>43626</v>
      </c>
      <c r="X132" t="s">
        <v>3712</v>
      </c>
    </row>
    <row r="133" spans="1:24" x14ac:dyDescent="0.2">
      <c r="A133" t="s">
        <v>4020</v>
      </c>
      <c r="B133" t="s">
        <v>3755</v>
      </c>
      <c r="D133" t="s">
        <v>1254</v>
      </c>
      <c r="E133" t="s">
        <v>1256</v>
      </c>
      <c r="G133" t="s">
        <v>4021</v>
      </c>
      <c r="I133" t="s">
        <v>1257</v>
      </c>
      <c r="J133" t="s">
        <v>1258</v>
      </c>
      <c r="K133" t="s">
        <v>4022</v>
      </c>
      <c r="L133" s="25">
        <v>36161</v>
      </c>
      <c r="M133" s="25">
        <v>38352</v>
      </c>
      <c r="N133" t="s">
        <v>4012</v>
      </c>
      <c r="O133" t="s">
        <v>309</v>
      </c>
      <c r="P133" t="s">
        <v>4023</v>
      </c>
      <c r="Q133" t="s">
        <v>4024</v>
      </c>
      <c r="R133" s="2">
        <v>44572</v>
      </c>
      <c r="V133" s="2">
        <v>37025</v>
      </c>
      <c r="W133" s="2">
        <v>37166</v>
      </c>
      <c r="X133" t="s">
        <v>51</v>
      </c>
    </row>
    <row r="134" spans="1:24" x14ac:dyDescent="0.2">
      <c r="A134" t="s">
        <v>4025</v>
      </c>
      <c r="B134" t="s">
        <v>3755</v>
      </c>
      <c r="D134" t="s">
        <v>1679</v>
      </c>
      <c r="E134" t="s">
        <v>1680</v>
      </c>
      <c r="G134" t="s">
        <v>4026</v>
      </c>
      <c r="I134" t="s">
        <v>1681</v>
      </c>
      <c r="J134" t="s">
        <v>424</v>
      </c>
      <c r="K134" t="s">
        <v>3739</v>
      </c>
      <c r="L134" s="25">
        <v>40909</v>
      </c>
      <c r="M134" s="25">
        <v>43100</v>
      </c>
      <c r="N134" t="s">
        <v>4012</v>
      </c>
      <c r="O134" t="s">
        <v>106</v>
      </c>
      <c r="P134" t="s">
        <v>3619</v>
      </c>
      <c r="Q134" t="s">
        <v>3704</v>
      </c>
      <c r="R134" s="2">
        <v>42747</v>
      </c>
      <c r="S134" s="2">
        <v>44566</v>
      </c>
      <c r="T134" t="s">
        <v>4012</v>
      </c>
      <c r="U134" t="s">
        <v>67</v>
      </c>
      <c r="V134" s="2">
        <v>42159</v>
      </c>
      <c r="W134" s="2">
        <v>42317</v>
      </c>
      <c r="X134" t="s">
        <v>51</v>
      </c>
    </row>
    <row r="135" spans="1:24" x14ac:dyDescent="0.2">
      <c r="A135" t="s">
        <v>4027</v>
      </c>
      <c r="B135" t="s">
        <v>4028</v>
      </c>
      <c r="D135" t="s">
        <v>1068</v>
      </c>
      <c r="E135" t="s">
        <v>1070</v>
      </c>
      <c r="I135" t="s">
        <v>1071</v>
      </c>
      <c r="J135" t="s">
        <v>75</v>
      </c>
      <c r="K135" t="s">
        <v>4029</v>
      </c>
      <c r="L135" s="2">
        <v>43009</v>
      </c>
      <c r="M135" s="2">
        <v>43617</v>
      </c>
      <c r="N135" t="s">
        <v>4030</v>
      </c>
      <c r="O135" t="s">
        <v>388</v>
      </c>
      <c r="P135" t="s">
        <v>4031</v>
      </c>
      <c r="Q135" t="s">
        <v>4032</v>
      </c>
      <c r="R135" s="2">
        <v>44569</v>
      </c>
      <c r="V135" s="2">
        <v>43115</v>
      </c>
      <c r="W135" s="2">
        <v>43626</v>
      </c>
      <c r="X135" t="s">
        <v>51</v>
      </c>
    </row>
    <row r="136" spans="1:24" x14ac:dyDescent="0.2">
      <c r="A136" t="s">
        <v>4033</v>
      </c>
      <c r="B136" t="s">
        <v>4028</v>
      </c>
      <c r="D136" t="s">
        <v>3157</v>
      </c>
      <c r="E136" t="s">
        <v>4034</v>
      </c>
      <c r="G136" t="s">
        <v>4035</v>
      </c>
      <c r="I136" t="s">
        <v>3160</v>
      </c>
      <c r="J136" t="s">
        <v>3161</v>
      </c>
      <c r="K136" t="s">
        <v>3688</v>
      </c>
      <c r="L136" s="25">
        <v>37622</v>
      </c>
      <c r="M136" s="25">
        <v>39813</v>
      </c>
      <c r="N136" t="s">
        <v>401</v>
      </c>
      <c r="O136" t="s">
        <v>106</v>
      </c>
      <c r="P136" t="s">
        <v>3162</v>
      </c>
      <c r="Q136" t="s">
        <v>4036</v>
      </c>
      <c r="R136" s="2">
        <v>41640</v>
      </c>
      <c r="S136" s="2">
        <v>42005</v>
      </c>
      <c r="U136" t="s">
        <v>106</v>
      </c>
      <c r="V136" s="2">
        <v>38475</v>
      </c>
      <c r="W136" s="2">
        <v>38860</v>
      </c>
      <c r="X136" t="s">
        <v>51</v>
      </c>
    </row>
    <row r="137" spans="1:24" x14ac:dyDescent="0.2">
      <c r="A137" t="s">
        <v>4037</v>
      </c>
      <c r="B137" t="s">
        <v>4028</v>
      </c>
      <c r="D137" t="s">
        <v>3228</v>
      </c>
      <c r="V137" s="2">
        <v>37797</v>
      </c>
      <c r="W137" s="2">
        <v>38007</v>
      </c>
      <c r="X137" t="s">
        <v>51</v>
      </c>
    </row>
    <row r="138" spans="1:24" x14ac:dyDescent="0.2">
      <c r="A138" t="s">
        <v>4038</v>
      </c>
      <c r="B138" t="s">
        <v>4039</v>
      </c>
      <c r="D138" t="s">
        <v>1054</v>
      </c>
      <c r="E138" t="s">
        <v>1056</v>
      </c>
      <c r="G138" t="s">
        <v>4040</v>
      </c>
      <c r="I138" t="s">
        <v>1057</v>
      </c>
      <c r="J138" t="s">
        <v>1058</v>
      </c>
      <c r="K138" t="s">
        <v>4041</v>
      </c>
      <c r="L138" s="25">
        <v>34700</v>
      </c>
      <c r="M138" s="25">
        <v>37256</v>
      </c>
      <c r="N138" t="s">
        <v>3460</v>
      </c>
      <c r="P138" t="s">
        <v>1059</v>
      </c>
      <c r="Q138" t="s">
        <v>4042</v>
      </c>
      <c r="R138" s="2">
        <v>44563</v>
      </c>
      <c r="S138" s="2">
        <v>44564</v>
      </c>
      <c r="T138" t="s">
        <v>3460</v>
      </c>
      <c r="U138" t="s">
        <v>1061</v>
      </c>
      <c r="V138" s="2">
        <v>35831</v>
      </c>
      <c r="W138" s="2">
        <v>36121</v>
      </c>
      <c r="X138" t="s">
        <v>51</v>
      </c>
    </row>
    <row r="139" spans="1:24" x14ac:dyDescent="0.2">
      <c r="A139" t="s">
        <v>4043</v>
      </c>
      <c r="B139" t="s">
        <v>4044</v>
      </c>
      <c r="D139" t="s">
        <v>2117</v>
      </c>
      <c r="G139" t="s">
        <v>4045</v>
      </c>
      <c r="I139" t="s">
        <v>2120</v>
      </c>
      <c r="J139" t="s">
        <v>4046</v>
      </c>
      <c r="K139" t="s">
        <v>3556</v>
      </c>
      <c r="L139" s="2">
        <v>43983</v>
      </c>
      <c r="M139" s="2">
        <v>44531</v>
      </c>
      <c r="N139" t="s">
        <v>1151</v>
      </c>
      <c r="O139" t="s">
        <v>79</v>
      </c>
      <c r="P139" t="s">
        <v>171</v>
      </c>
      <c r="Q139" t="s">
        <v>4047</v>
      </c>
      <c r="R139" s="2">
        <v>44568</v>
      </c>
      <c r="S139" s="2">
        <v>44562</v>
      </c>
      <c r="T139" t="s">
        <v>4030</v>
      </c>
      <c r="U139" t="s">
        <v>67</v>
      </c>
      <c r="X139" t="s">
        <v>51</v>
      </c>
    </row>
    <row r="140" spans="1:24" x14ac:dyDescent="0.2">
      <c r="A140" t="s">
        <v>4048</v>
      </c>
      <c r="B140" t="s">
        <v>4044</v>
      </c>
      <c r="D140" t="s">
        <v>2649</v>
      </c>
      <c r="E140" t="s">
        <v>2650</v>
      </c>
      <c r="G140" t="s">
        <v>4049</v>
      </c>
      <c r="V140" s="2">
        <v>38860</v>
      </c>
      <c r="W140" s="2">
        <v>39406</v>
      </c>
      <c r="X140" t="s">
        <v>51</v>
      </c>
    </row>
    <row r="141" spans="1:24" x14ac:dyDescent="0.2">
      <c r="A141" t="s">
        <v>4050</v>
      </c>
      <c r="B141" t="s">
        <v>1354</v>
      </c>
      <c r="D141" t="s">
        <v>1353</v>
      </c>
      <c r="E141" t="s">
        <v>1355</v>
      </c>
      <c r="G141" t="s">
        <v>4051</v>
      </c>
      <c r="I141" t="s">
        <v>4052</v>
      </c>
      <c r="J141" t="s">
        <v>1243</v>
      </c>
      <c r="K141" t="s">
        <v>4053</v>
      </c>
      <c r="L141" s="2"/>
      <c r="N141" t="s">
        <v>4012</v>
      </c>
      <c r="O141" t="s">
        <v>388</v>
      </c>
      <c r="P141" t="s">
        <v>4054</v>
      </c>
      <c r="Q141" t="s">
        <v>4055</v>
      </c>
      <c r="R141" s="2">
        <v>44927</v>
      </c>
      <c r="S141" s="2">
        <v>46029</v>
      </c>
      <c r="T141" t="s">
        <v>3460</v>
      </c>
      <c r="U141" t="s">
        <v>1486</v>
      </c>
      <c r="V141" s="2">
        <v>37278</v>
      </c>
      <c r="W141" s="2">
        <v>38007</v>
      </c>
      <c r="X141" t="s">
        <v>51</v>
      </c>
    </row>
    <row r="142" spans="1:24" ht="102" x14ac:dyDescent="0.2">
      <c r="A142" t="s">
        <v>4056</v>
      </c>
      <c r="B142" t="s">
        <v>1579</v>
      </c>
      <c r="D142" t="s">
        <v>1578</v>
      </c>
      <c r="E142" t="s">
        <v>1580</v>
      </c>
      <c r="G142" t="s">
        <v>4057</v>
      </c>
      <c r="I142" t="s">
        <v>1581</v>
      </c>
      <c r="J142" t="s">
        <v>1583</v>
      </c>
      <c r="K142" s="6" t="s">
        <v>4058</v>
      </c>
      <c r="L142" s="25">
        <v>37987</v>
      </c>
      <c r="M142" s="25">
        <v>39082</v>
      </c>
      <c r="N142" t="s">
        <v>4059</v>
      </c>
      <c r="O142" t="s">
        <v>581</v>
      </c>
      <c r="P142" t="s">
        <v>4060</v>
      </c>
      <c r="Q142" s="6" t="s">
        <v>4061</v>
      </c>
      <c r="R142" s="2">
        <v>42371</v>
      </c>
      <c r="S142" s="2">
        <v>43106</v>
      </c>
      <c r="T142" t="s">
        <v>353</v>
      </c>
      <c r="U142" t="s">
        <v>79</v>
      </c>
      <c r="V142" s="2">
        <v>37642</v>
      </c>
      <c r="W142" s="2">
        <v>38860</v>
      </c>
      <c r="X142" t="s">
        <v>51</v>
      </c>
    </row>
    <row r="143" spans="1:24" x14ac:dyDescent="0.2">
      <c r="A143" t="s">
        <v>4062</v>
      </c>
      <c r="B143" t="s">
        <v>2024</v>
      </c>
      <c r="D143" t="s">
        <v>4063</v>
      </c>
      <c r="I143" t="s">
        <v>4064</v>
      </c>
      <c r="J143" t="s">
        <v>2030</v>
      </c>
      <c r="K143" t="s">
        <v>4065</v>
      </c>
      <c r="L143" s="25">
        <v>35065</v>
      </c>
      <c r="M143" s="25">
        <v>37256</v>
      </c>
      <c r="N143" t="s">
        <v>4066</v>
      </c>
      <c r="O143" t="s">
        <v>912</v>
      </c>
      <c r="P143" t="s">
        <v>352</v>
      </c>
      <c r="Q143" t="s">
        <v>4067</v>
      </c>
      <c r="R143" s="2">
        <v>44565</v>
      </c>
      <c r="S143" s="2">
        <v>41651</v>
      </c>
      <c r="T143" t="s">
        <v>836</v>
      </c>
      <c r="U143" t="s">
        <v>256</v>
      </c>
      <c r="V143" s="2">
        <v>36280</v>
      </c>
      <c r="W143" s="2">
        <v>37298</v>
      </c>
      <c r="X143" t="s">
        <v>51</v>
      </c>
    </row>
    <row r="144" spans="1:24" x14ac:dyDescent="0.2">
      <c r="A144" t="s">
        <v>4068</v>
      </c>
      <c r="B144" t="s">
        <v>2024</v>
      </c>
      <c r="D144" t="s">
        <v>2450</v>
      </c>
      <c r="E144" t="s">
        <v>2451</v>
      </c>
      <c r="G144" t="s">
        <v>4069</v>
      </c>
      <c r="V144" s="2">
        <v>35831</v>
      </c>
      <c r="W144" s="2">
        <v>37298</v>
      </c>
      <c r="X144" t="s">
        <v>51</v>
      </c>
    </row>
    <row r="145" spans="1:24" x14ac:dyDescent="0.2">
      <c r="A145" t="s">
        <v>4070</v>
      </c>
      <c r="B145" t="s">
        <v>319</v>
      </c>
      <c r="D145" t="s">
        <v>318</v>
      </c>
      <c r="E145" t="s">
        <v>320</v>
      </c>
      <c r="I145" t="s">
        <v>4071</v>
      </c>
      <c r="J145" t="s">
        <v>4072</v>
      </c>
      <c r="K145" t="s">
        <v>3013</v>
      </c>
      <c r="L145" s="25">
        <v>36892</v>
      </c>
      <c r="M145" s="25">
        <v>38717</v>
      </c>
      <c r="N145" t="s">
        <v>4012</v>
      </c>
      <c r="O145" t="s">
        <v>325</v>
      </c>
      <c r="P145" t="s">
        <v>323</v>
      </c>
      <c r="Q145" t="s">
        <v>3013</v>
      </c>
      <c r="R145" s="2">
        <v>42005</v>
      </c>
      <c r="T145" t="s">
        <v>3460</v>
      </c>
      <c r="U145" t="s">
        <v>325</v>
      </c>
      <c r="V145" s="2">
        <v>37278</v>
      </c>
      <c r="W145" s="2">
        <v>38007</v>
      </c>
      <c r="X145" t="s">
        <v>51</v>
      </c>
    </row>
    <row r="146" spans="1:24" x14ac:dyDescent="0.2">
      <c r="A146" t="s">
        <v>4073</v>
      </c>
      <c r="B146" t="s">
        <v>319</v>
      </c>
      <c r="D146" t="s">
        <v>2235</v>
      </c>
      <c r="V146" s="2">
        <v>33240</v>
      </c>
      <c r="W146" s="2">
        <v>33602</v>
      </c>
      <c r="X146" t="s">
        <v>51</v>
      </c>
    </row>
    <row r="147" spans="1:24" x14ac:dyDescent="0.2">
      <c r="A147" t="s">
        <v>4074</v>
      </c>
      <c r="B147" t="s">
        <v>319</v>
      </c>
      <c r="D147" t="s">
        <v>2930</v>
      </c>
      <c r="E147" t="s">
        <v>2931</v>
      </c>
      <c r="G147" t="s">
        <v>4075</v>
      </c>
      <c r="I147" t="s">
        <v>2932</v>
      </c>
      <c r="J147" t="s">
        <v>1417</v>
      </c>
      <c r="K147" t="s">
        <v>4076</v>
      </c>
      <c r="L147" s="2">
        <v>40969</v>
      </c>
      <c r="M147" s="2">
        <v>41671</v>
      </c>
      <c r="N147" t="s">
        <v>4012</v>
      </c>
      <c r="O147" t="s">
        <v>67</v>
      </c>
      <c r="P147" t="s">
        <v>1863</v>
      </c>
      <c r="Q147" t="s">
        <v>3501</v>
      </c>
      <c r="R147" s="2">
        <v>42736</v>
      </c>
      <c r="S147" s="2">
        <v>43106</v>
      </c>
      <c r="T147" t="s">
        <v>3460</v>
      </c>
      <c r="U147" t="s">
        <v>156</v>
      </c>
      <c r="V147" s="2">
        <v>41058</v>
      </c>
      <c r="W147" s="2">
        <v>42999</v>
      </c>
      <c r="X147" t="s">
        <v>453</v>
      </c>
    </row>
    <row r="148" spans="1:24" x14ac:dyDescent="0.2">
      <c r="A148" t="s">
        <v>4077</v>
      </c>
      <c r="B148" t="s">
        <v>319</v>
      </c>
      <c r="D148" t="s">
        <v>3279</v>
      </c>
      <c r="I148" t="s">
        <v>3282</v>
      </c>
      <c r="J148" t="s">
        <v>4078</v>
      </c>
      <c r="K148" t="s">
        <v>4079</v>
      </c>
      <c r="L148" s="25">
        <v>33604</v>
      </c>
      <c r="M148" s="25">
        <v>36160</v>
      </c>
      <c r="N148" t="s">
        <v>4012</v>
      </c>
      <c r="O148" t="s">
        <v>156</v>
      </c>
      <c r="P148" t="s">
        <v>4080</v>
      </c>
      <c r="Q148" t="s">
        <v>4081</v>
      </c>
      <c r="R148" s="2">
        <v>41644</v>
      </c>
      <c r="S148" s="2">
        <v>42378</v>
      </c>
      <c r="V148" s="2">
        <v>35488</v>
      </c>
      <c r="W148" s="2">
        <v>35674</v>
      </c>
      <c r="X148" t="s">
        <v>51</v>
      </c>
    </row>
    <row r="149" spans="1:24" x14ac:dyDescent="0.2">
      <c r="A149" t="s">
        <v>4082</v>
      </c>
      <c r="B149" t="s">
        <v>1327</v>
      </c>
      <c r="D149" t="s">
        <v>1326</v>
      </c>
      <c r="E149" t="s">
        <v>1328</v>
      </c>
      <c r="I149" t="s">
        <v>1329</v>
      </c>
      <c r="J149" t="s">
        <v>4083</v>
      </c>
      <c r="K149" t="s">
        <v>3589</v>
      </c>
      <c r="L149" s="25">
        <v>36892</v>
      </c>
      <c r="M149" s="25">
        <v>42369</v>
      </c>
      <c r="N149" t="s">
        <v>4084</v>
      </c>
      <c r="O149" t="s">
        <v>4085</v>
      </c>
      <c r="P149" t="s">
        <v>4086</v>
      </c>
      <c r="Q149" t="s">
        <v>3501</v>
      </c>
      <c r="R149" s="2">
        <v>40552</v>
      </c>
      <c r="S149" s="2">
        <v>44929</v>
      </c>
      <c r="T149" t="s">
        <v>4087</v>
      </c>
      <c r="U149" t="s">
        <v>980</v>
      </c>
      <c r="V149" s="2">
        <v>37797</v>
      </c>
      <c r="W149" s="2">
        <v>38007</v>
      </c>
      <c r="X149" t="s">
        <v>51</v>
      </c>
    </row>
    <row r="150" spans="1:24" x14ac:dyDescent="0.2">
      <c r="A150" t="s">
        <v>4088</v>
      </c>
      <c r="B150" t="s">
        <v>1327</v>
      </c>
      <c r="D150" t="s">
        <v>1976</v>
      </c>
      <c r="E150" t="s">
        <v>1978</v>
      </c>
      <c r="I150" t="s">
        <v>1979</v>
      </c>
      <c r="J150" t="s">
        <v>4089</v>
      </c>
      <c r="K150" t="s">
        <v>4053</v>
      </c>
      <c r="L150" s="25">
        <v>32509</v>
      </c>
      <c r="M150" s="25">
        <v>35064</v>
      </c>
      <c r="O150" t="s">
        <v>309</v>
      </c>
      <c r="P150" t="s">
        <v>1981</v>
      </c>
      <c r="Q150" t="s">
        <v>4090</v>
      </c>
      <c r="R150" s="2">
        <v>42378</v>
      </c>
      <c r="S150" s="2">
        <v>43477</v>
      </c>
      <c r="T150" t="s">
        <v>3460</v>
      </c>
      <c r="U150" t="s">
        <v>309</v>
      </c>
      <c r="V150" s="2">
        <v>33240</v>
      </c>
      <c r="W150" s="2">
        <v>37313</v>
      </c>
      <c r="X150" t="s">
        <v>51</v>
      </c>
    </row>
    <row r="151" spans="1:24" x14ac:dyDescent="0.2">
      <c r="A151" t="s">
        <v>4091</v>
      </c>
      <c r="B151" t="s">
        <v>1327</v>
      </c>
      <c r="D151" t="s">
        <v>2411</v>
      </c>
      <c r="V151" s="2">
        <v>37278</v>
      </c>
      <c r="W151" s="2">
        <v>37649</v>
      </c>
      <c r="X151" t="s">
        <v>51</v>
      </c>
    </row>
    <row r="152" spans="1:24" x14ac:dyDescent="0.2">
      <c r="A152" t="s">
        <v>4092</v>
      </c>
      <c r="B152" t="s">
        <v>3355</v>
      </c>
      <c r="D152" t="s">
        <v>3354</v>
      </c>
      <c r="E152" t="s">
        <v>3356</v>
      </c>
      <c r="I152" t="s">
        <v>3357</v>
      </c>
      <c r="J152" t="s">
        <v>4093</v>
      </c>
      <c r="K152" t="s">
        <v>4094</v>
      </c>
      <c r="L152" s="2">
        <v>35431</v>
      </c>
      <c r="M152" s="2">
        <v>37621</v>
      </c>
      <c r="N152" t="s">
        <v>4030</v>
      </c>
      <c r="O152" t="s">
        <v>67</v>
      </c>
      <c r="P152" t="s">
        <v>1447</v>
      </c>
      <c r="Q152" t="s">
        <v>4095</v>
      </c>
      <c r="R152" s="2">
        <v>44927</v>
      </c>
      <c r="S152" s="2">
        <v>40551</v>
      </c>
      <c r="T152" t="s">
        <v>4030</v>
      </c>
      <c r="U152" t="s">
        <v>67</v>
      </c>
      <c r="V152" s="2">
        <v>36655</v>
      </c>
      <c r="W152" s="2">
        <v>37649</v>
      </c>
      <c r="X152" t="s">
        <v>51</v>
      </c>
    </row>
    <row r="153" spans="1:24" x14ac:dyDescent="0.2">
      <c r="A153" t="s">
        <v>4096</v>
      </c>
      <c r="B153" t="s">
        <v>258</v>
      </c>
      <c r="D153" t="s">
        <v>2705</v>
      </c>
      <c r="E153" t="s">
        <v>2706</v>
      </c>
      <c r="J153" t="s">
        <v>2708</v>
      </c>
      <c r="K153" t="s">
        <v>4097</v>
      </c>
      <c r="N153" t="s">
        <v>4012</v>
      </c>
      <c r="O153" t="s">
        <v>67</v>
      </c>
      <c r="P153" t="s">
        <v>2709</v>
      </c>
      <c r="Q153" t="s">
        <v>4098</v>
      </c>
      <c r="R153" s="2">
        <v>43101</v>
      </c>
      <c r="S153" s="2">
        <v>44929</v>
      </c>
      <c r="U153" t="s">
        <v>67</v>
      </c>
      <c r="V153" s="2">
        <v>33240</v>
      </c>
      <c r="W153" s="2">
        <v>33602</v>
      </c>
      <c r="X153" t="s">
        <v>51</v>
      </c>
    </row>
    <row r="154" spans="1:24" x14ac:dyDescent="0.2">
      <c r="A154" t="s">
        <v>4099</v>
      </c>
      <c r="B154" t="s">
        <v>1221</v>
      </c>
      <c r="D154" t="s">
        <v>1220</v>
      </c>
      <c r="E154" t="s">
        <v>1222</v>
      </c>
      <c r="G154" t="s">
        <v>4100</v>
      </c>
      <c r="I154" t="s">
        <v>1223</v>
      </c>
      <c r="J154" t="s">
        <v>1225</v>
      </c>
      <c r="K154" t="s">
        <v>4101</v>
      </c>
      <c r="L154" s="2">
        <v>38261</v>
      </c>
      <c r="M154" s="2">
        <v>38626</v>
      </c>
      <c r="N154" t="s">
        <v>4012</v>
      </c>
      <c r="O154" t="s">
        <v>174</v>
      </c>
      <c r="P154" t="s">
        <v>1225</v>
      </c>
      <c r="Q154" t="s">
        <v>4102</v>
      </c>
      <c r="R154" s="2">
        <v>40915</v>
      </c>
      <c r="S154" s="2">
        <v>44929</v>
      </c>
      <c r="U154" t="s">
        <v>136</v>
      </c>
      <c r="V154" s="2">
        <v>38356</v>
      </c>
      <c r="W154" s="2">
        <v>38860</v>
      </c>
      <c r="X154" t="s">
        <v>4103</v>
      </c>
    </row>
    <row r="155" spans="1:24" x14ac:dyDescent="0.2">
      <c r="A155" t="s">
        <v>4104</v>
      </c>
      <c r="B155" t="s">
        <v>1221</v>
      </c>
      <c r="D155" t="s">
        <v>1262</v>
      </c>
      <c r="I155" t="s">
        <v>1264</v>
      </c>
      <c r="J155" t="s">
        <v>4105</v>
      </c>
      <c r="K155" t="s">
        <v>4106</v>
      </c>
      <c r="L155" s="2">
        <v>42767</v>
      </c>
      <c r="M155" s="2">
        <v>43132</v>
      </c>
      <c r="O155" t="s">
        <v>106</v>
      </c>
      <c r="V155" s="2">
        <v>42886</v>
      </c>
      <c r="W155" s="2">
        <v>43152</v>
      </c>
      <c r="X155" t="s">
        <v>51</v>
      </c>
    </row>
    <row r="156" spans="1:24" x14ac:dyDescent="0.2">
      <c r="A156" t="s">
        <v>4107</v>
      </c>
      <c r="B156" t="s">
        <v>1221</v>
      </c>
      <c r="D156" t="s">
        <v>1942</v>
      </c>
      <c r="E156" t="s">
        <v>1943</v>
      </c>
      <c r="G156" t="s">
        <v>4108</v>
      </c>
      <c r="I156" t="s">
        <v>1944</v>
      </c>
      <c r="J156" t="s">
        <v>1946</v>
      </c>
      <c r="K156" t="s">
        <v>4109</v>
      </c>
      <c r="L156" s="25">
        <v>37987</v>
      </c>
      <c r="M156" s="25">
        <v>38352</v>
      </c>
      <c r="N156" t="s">
        <v>4066</v>
      </c>
      <c r="O156" t="s">
        <v>1947</v>
      </c>
      <c r="P156" t="s">
        <v>4110</v>
      </c>
      <c r="Q156" t="s">
        <v>3773</v>
      </c>
      <c r="R156" s="2">
        <v>41276</v>
      </c>
      <c r="S156" s="2">
        <v>42740</v>
      </c>
      <c r="U156" t="s">
        <v>106</v>
      </c>
      <c r="V156" s="2">
        <v>38356</v>
      </c>
      <c r="W156" s="2">
        <v>38860</v>
      </c>
      <c r="X156" t="s">
        <v>453</v>
      </c>
    </row>
    <row r="157" spans="1:24" x14ac:dyDescent="0.2">
      <c r="A157" t="s">
        <v>4111</v>
      </c>
      <c r="B157" t="s">
        <v>1221</v>
      </c>
      <c r="D157" t="s">
        <v>2369</v>
      </c>
      <c r="I157" t="s">
        <v>4112</v>
      </c>
      <c r="J157" t="s">
        <v>4113</v>
      </c>
      <c r="K157" t="s">
        <v>4114</v>
      </c>
      <c r="L157" s="25">
        <v>35431</v>
      </c>
      <c r="M157" s="25">
        <v>37256</v>
      </c>
      <c r="O157" t="s">
        <v>581</v>
      </c>
      <c r="P157" t="s">
        <v>4115</v>
      </c>
      <c r="Q157" t="s">
        <v>4116</v>
      </c>
      <c r="R157" s="2">
        <v>42377</v>
      </c>
      <c r="S157" s="2">
        <v>43469</v>
      </c>
      <c r="T157" t="s">
        <v>4117</v>
      </c>
      <c r="U157" t="s">
        <v>581</v>
      </c>
      <c r="V157" s="2">
        <v>36515</v>
      </c>
      <c r="W157" s="2">
        <v>37298</v>
      </c>
      <c r="X157" t="s">
        <v>51</v>
      </c>
    </row>
    <row r="158" spans="1:24" x14ac:dyDescent="0.2">
      <c r="A158" t="s">
        <v>4118</v>
      </c>
      <c r="B158" t="s">
        <v>1221</v>
      </c>
      <c r="D158" t="s">
        <v>2508</v>
      </c>
      <c r="E158" t="s">
        <v>4119</v>
      </c>
      <c r="G158" t="s">
        <v>4120</v>
      </c>
      <c r="I158" t="s">
        <v>4121</v>
      </c>
      <c r="J158" t="s">
        <v>4122</v>
      </c>
      <c r="K158" t="s">
        <v>3488</v>
      </c>
      <c r="L158" s="25">
        <v>31048</v>
      </c>
      <c r="M158" s="25">
        <v>33238</v>
      </c>
      <c r="N158" t="s">
        <v>4123</v>
      </c>
      <c r="O158" t="s">
        <v>91</v>
      </c>
      <c r="P158" t="s">
        <v>4124</v>
      </c>
      <c r="Q158" t="s">
        <v>4125</v>
      </c>
      <c r="R158" s="2">
        <v>40909</v>
      </c>
      <c r="S158" s="2">
        <v>40920</v>
      </c>
      <c r="T158" t="s">
        <v>4126</v>
      </c>
      <c r="V158" s="2">
        <v>33240</v>
      </c>
      <c r="W158" s="2">
        <v>33602</v>
      </c>
      <c r="X158" t="s">
        <v>51</v>
      </c>
    </row>
    <row r="159" spans="1:24" x14ac:dyDescent="0.2">
      <c r="A159" t="s">
        <v>4127</v>
      </c>
      <c r="B159" t="s">
        <v>1221</v>
      </c>
      <c r="D159" t="s">
        <v>3201</v>
      </c>
      <c r="E159" t="s">
        <v>3202</v>
      </c>
      <c r="F159" t="s">
        <v>3203</v>
      </c>
      <c r="I159" t="s">
        <v>3204</v>
      </c>
      <c r="J159" t="s">
        <v>727</v>
      </c>
      <c r="V159" s="2">
        <v>43115</v>
      </c>
      <c r="W159" s="2">
        <v>43631</v>
      </c>
      <c r="X159" t="s">
        <v>51</v>
      </c>
    </row>
    <row r="160" spans="1:24" x14ac:dyDescent="0.2">
      <c r="A160" t="s">
        <v>4128</v>
      </c>
      <c r="B160" t="s">
        <v>1284</v>
      </c>
      <c r="D160" t="s">
        <v>1283</v>
      </c>
      <c r="I160" t="s">
        <v>4129</v>
      </c>
      <c r="J160" t="s">
        <v>4130</v>
      </c>
      <c r="K160" t="s">
        <v>4131</v>
      </c>
      <c r="L160" s="25">
        <v>32143</v>
      </c>
      <c r="M160" s="25">
        <v>33969</v>
      </c>
      <c r="N160" t="s">
        <v>4018</v>
      </c>
      <c r="O160" t="s">
        <v>156</v>
      </c>
      <c r="P160" t="s">
        <v>355</v>
      </c>
      <c r="Q160" t="s">
        <v>3493</v>
      </c>
      <c r="R160" t="s">
        <v>4132</v>
      </c>
      <c r="S160" s="2">
        <v>40915</v>
      </c>
      <c r="U160" t="s">
        <v>156</v>
      </c>
      <c r="V160" s="2">
        <v>33865</v>
      </c>
      <c r="W160" s="2">
        <v>34233</v>
      </c>
      <c r="X160" t="s">
        <v>51</v>
      </c>
    </row>
    <row r="161" spans="1:24" x14ac:dyDescent="0.2">
      <c r="A161" t="s">
        <v>4133</v>
      </c>
      <c r="B161" t="s">
        <v>2946</v>
      </c>
      <c r="D161" t="s">
        <v>2945</v>
      </c>
      <c r="E161" t="s">
        <v>2947</v>
      </c>
      <c r="G161" t="s">
        <v>4134</v>
      </c>
      <c r="I161" t="s">
        <v>2948</v>
      </c>
      <c r="J161" t="s">
        <v>4135</v>
      </c>
      <c r="K161" t="s">
        <v>4136</v>
      </c>
      <c r="L161" s="2">
        <v>39173</v>
      </c>
      <c r="M161" s="2">
        <v>40422</v>
      </c>
      <c r="O161" t="s">
        <v>309</v>
      </c>
      <c r="P161" t="s">
        <v>4137</v>
      </c>
      <c r="Q161" t="s">
        <v>4138</v>
      </c>
      <c r="R161" s="2">
        <v>40548</v>
      </c>
      <c r="S161" s="2">
        <v>40551</v>
      </c>
      <c r="U161" t="s">
        <v>44</v>
      </c>
      <c r="V161" s="2">
        <v>39602</v>
      </c>
      <c r="W161" s="2">
        <v>40513</v>
      </c>
      <c r="X161" t="s">
        <v>4139</v>
      </c>
    </row>
    <row r="162" spans="1:24" x14ac:dyDescent="0.2">
      <c r="A162" t="s">
        <v>4140</v>
      </c>
      <c r="B162" t="s">
        <v>2431</v>
      </c>
      <c r="D162" t="s">
        <v>2430</v>
      </c>
      <c r="E162" t="s">
        <v>2432</v>
      </c>
      <c r="F162" t="s">
        <v>2433</v>
      </c>
      <c r="I162" t="s">
        <v>4141</v>
      </c>
      <c r="J162" t="s">
        <v>2436</v>
      </c>
      <c r="X162" t="s">
        <v>51</v>
      </c>
    </row>
    <row r="163" spans="1:24" x14ac:dyDescent="0.2">
      <c r="A163" t="s">
        <v>4142</v>
      </c>
      <c r="B163" t="s">
        <v>627</v>
      </c>
      <c r="D163" t="s">
        <v>1040</v>
      </c>
      <c r="E163" t="s">
        <v>4143</v>
      </c>
      <c r="G163" t="s">
        <v>4144</v>
      </c>
      <c r="I163" t="s">
        <v>1043</v>
      </c>
      <c r="J163" t="s">
        <v>58</v>
      </c>
      <c r="K163" t="s">
        <v>212</v>
      </c>
      <c r="L163" s="2">
        <v>41791</v>
      </c>
      <c r="M163" s="2">
        <v>42948</v>
      </c>
      <c r="N163" t="s">
        <v>4145</v>
      </c>
      <c r="O163" t="s">
        <v>67</v>
      </c>
      <c r="P163" t="s">
        <v>1044</v>
      </c>
      <c r="Q163" t="s">
        <v>4047</v>
      </c>
      <c r="R163" s="2">
        <v>42741</v>
      </c>
      <c r="S163" s="2">
        <v>42743</v>
      </c>
      <c r="T163" t="s">
        <v>4145</v>
      </c>
      <c r="U163" t="s">
        <v>67</v>
      </c>
      <c r="V163" s="2">
        <v>41799</v>
      </c>
      <c r="W163" s="2">
        <v>43024</v>
      </c>
      <c r="X163" t="s">
        <v>157</v>
      </c>
    </row>
    <row r="164" spans="1:24" x14ac:dyDescent="0.2">
      <c r="A164" t="s">
        <v>4146</v>
      </c>
      <c r="B164" t="s">
        <v>627</v>
      </c>
      <c r="D164" t="s">
        <v>1703</v>
      </c>
      <c r="V164" s="2">
        <v>43626</v>
      </c>
      <c r="X164" t="s">
        <v>51</v>
      </c>
    </row>
    <row r="165" spans="1:24" x14ac:dyDescent="0.2">
      <c r="A165" t="s">
        <v>4147</v>
      </c>
      <c r="B165" t="s">
        <v>627</v>
      </c>
      <c r="C165" t="s">
        <v>832</v>
      </c>
      <c r="D165" t="s">
        <v>2800</v>
      </c>
      <c r="E165" t="s">
        <v>2801</v>
      </c>
      <c r="G165">
        <v>393351732727</v>
      </c>
      <c r="I165" t="s">
        <v>2802</v>
      </c>
      <c r="J165" t="s">
        <v>2804</v>
      </c>
      <c r="K165" t="s">
        <v>4148</v>
      </c>
      <c r="L165" s="25">
        <v>38412</v>
      </c>
      <c r="M165" s="25">
        <v>39479</v>
      </c>
      <c r="N165" t="s">
        <v>4012</v>
      </c>
      <c r="O165" t="s">
        <v>309</v>
      </c>
      <c r="P165" t="s">
        <v>2809</v>
      </c>
      <c r="Q165" t="s">
        <v>3837</v>
      </c>
      <c r="R165" s="2">
        <v>41648</v>
      </c>
      <c r="S165" s="2">
        <v>42747</v>
      </c>
      <c r="T165" t="s">
        <v>4012</v>
      </c>
      <c r="U165" t="s">
        <v>309</v>
      </c>
      <c r="V165" s="2">
        <v>38475</v>
      </c>
      <c r="W165" s="2">
        <v>39882</v>
      </c>
      <c r="X165" t="s">
        <v>239</v>
      </c>
    </row>
    <row r="166" spans="1:24" x14ac:dyDescent="0.2">
      <c r="A166" t="s">
        <v>4149</v>
      </c>
      <c r="B166" t="s">
        <v>627</v>
      </c>
      <c r="D166" t="s">
        <v>1897</v>
      </c>
      <c r="I166" t="s">
        <v>4150</v>
      </c>
      <c r="J166" t="s">
        <v>4151</v>
      </c>
      <c r="K166" t="s">
        <v>3982</v>
      </c>
      <c r="L166" s="25">
        <v>43101</v>
      </c>
      <c r="M166" s="25">
        <v>43466</v>
      </c>
      <c r="O166" t="s">
        <v>309</v>
      </c>
      <c r="V166" s="2">
        <v>43115</v>
      </c>
      <c r="W166" s="2">
        <v>43465</v>
      </c>
      <c r="X166" t="s">
        <v>51</v>
      </c>
    </row>
    <row r="167" spans="1:24" x14ac:dyDescent="0.2">
      <c r="A167" t="s">
        <v>4152</v>
      </c>
      <c r="B167" t="s">
        <v>627</v>
      </c>
      <c r="D167" t="s">
        <v>2132</v>
      </c>
      <c r="E167" t="s">
        <v>2133</v>
      </c>
      <c r="G167" t="s">
        <v>4153</v>
      </c>
      <c r="I167" t="s">
        <v>4154</v>
      </c>
      <c r="J167" t="s">
        <v>75</v>
      </c>
      <c r="K167" t="s">
        <v>4155</v>
      </c>
      <c r="L167" s="2">
        <v>39142</v>
      </c>
      <c r="M167" s="2">
        <v>39692</v>
      </c>
      <c r="N167" t="s">
        <v>4156</v>
      </c>
      <c r="O167" t="s">
        <v>388</v>
      </c>
      <c r="P167" t="s">
        <v>75</v>
      </c>
      <c r="Q167" t="s">
        <v>4157</v>
      </c>
      <c r="R167" s="2">
        <v>40919</v>
      </c>
      <c r="S167" s="2">
        <v>42370</v>
      </c>
      <c r="U167" t="s">
        <v>388</v>
      </c>
      <c r="V167" s="2">
        <v>39238</v>
      </c>
      <c r="W167" s="2">
        <v>40197</v>
      </c>
      <c r="X167" t="s">
        <v>425</v>
      </c>
    </row>
    <row r="168" spans="1:24" x14ac:dyDescent="0.2">
      <c r="A168" t="s">
        <v>4158</v>
      </c>
      <c r="B168" t="s">
        <v>627</v>
      </c>
      <c r="D168" t="s">
        <v>2366</v>
      </c>
      <c r="E168" t="s">
        <v>2367</v>
      </c>
      <c r="G168">
        <v>39338216921</v>
      </c>
      <c r="I168" t="s">
        <v>2368</v>
      </c>
      <c r="J168" t="s">
        <v>1384</v>
      </c>
      <c r="K168" t="s">
        <v>4159</v>
      </c>
      <c r="L168" s="2">
        <v>42278</v>
      </c>
      <c r="M168" s="2">
        <v>43191</v>
      </c>
      <c r="N168" t="s">
        <v>4012</v>
      </c>
      <c r="O168" t="s">
        <v>67</v>
      </c>
      <c r="P168" t="s">
        <v>1384</v>
      </c>
      <c r="Q168" t="s">
        <v>3461</v>
      </c>
      <c r="R168" s="2">
        <v>43109</v>
      </c>
      <c r="S168" s="2">
        <v>43471</v>
      </c>
      <c r="U168" t="s">
        <v>67</v>
      </c>
      <c r="V168" s="2">
        <v>42380</v>
      </c>
      <c r="W168" s="2">
        <v>43227</v>
      </c>
      <c r="X168" t="s">
        <v>51</v>
      </c>
    </row>
    <row r="169" spans="1:24" x14ac:dyDescent="0.2">
      <c r="A169" t="s">
        <v>4160</v>
      </c>
      <c r="B169" t="s">
        <v>627</v>
      </c>
      <c r="D169" t="s">
        <v>2921</v>
      </c>
      <c r="E169" t="s">
        <v>2922</v>
      </c>
      <c r="G169">
        <v>34862579</v>
      </c>
      <c r="I169" t="s">
        <v>2923</v>
      </c>
      <c r="J169" t="s">
        <v>2925</v>
      </c>
      <c r="K169" t="s">
        <v>4161</v>
      </c>
      <c r="L169" s="2">
        <v>34700</v>
      </c>
      <c r="M169" s="2">
        <v>37256</v>
      </c>
      <c r="N169" t="s">
        <v>4012</v>
      </c>
      <c r="O169" t="s">
        <v>388</v>
      </c>
      <c r="Q169" t="s">
        <v>4162</v>
      </c>
      <c r="R169" s="2">
        <v>44205</v>
      </c>
      <c r="S169" s="2">
        <v>42739</v>
      </c>
      <c r="T169" t="s">
        <v>4012</v>
      </c>
      <c r="V169" s="2">
        <v>35831</v>
      </c>
      <c r="W169" s="2">
        <v>35990</v>
      </c>
      <c r="X169" t="s">
        <v>51</v>
      </c>
    </row>
    <row r="170" spans="1:24" x14ac:dyDescent="0.2">
      <c r="A170" t="s">
        <v>4163</v>
      </c>
      <c r="B170" t="s">
        <v>349</v>
      </c>
      <c r="D170" t="s">
        <v>4164</v>
      </c>
      <c r="E170" t="s">
        <v>3046</v>
      </c>
      <c r="I170" t="s">
        <v>4165</v>
      </c>
      <c r="J170" t="s">
        <v>551</v>
      </c>
      <c r="K170" t="s">
        <v>4166</v>
      </c>
      <c r="L170" s="2">
        <v>40238</v>
      </c>
      <c r="M170" s="2">
        <v>41244</v>
      </c>
      <c r="N170" t="s">
        <v>4012</v>
      </c>
      <c r="X170" t="s">
        <v>51</v>
      </c>
    </row>
    <row r="171" spans="1:24" x14ac:dyDescent="0.2">
      <c r="A171" t="s">
        <v>4167</v>
      </c>
      <c r="B171" t="s">
        <v>1993</v>
      </c>
      <c r="D171" t="s">
        <v>1992</v>
      </c>
      <c r="F171" t="s">
        <v>1994</v>
      </c>
      <c r="I171" t="s">
        <v>1996</v>
      </c>
      <c r="X171" t="s">
        <v>51</v>
      </c>
    </row>
    <row r="172" spans="1:24" x14ac:dyDescent="0.2">
      <c r="A172" t="s">
        <v>4168</v>
      </c>
      <c r="B172" t="s">
        <v>390</v>
      </c>
      <c r="D172" t="s">
        <v>389</v>
      </c>
      <c r="E172" t="s">
        <v>391</v>
      </c>
      <c r="G172" t="s">
        <v>4169</v>
      </c>
      <c r="H172" t="s">
        <v>4170</v>
      </c>
      <c r="I172" t="s">
        <v>392</v>
      </c>
      <c r="J172" t="s">
        <v>393</v>
      </c>
      <c r="K172" t="s">
        <v>4171</v>
      </c>
      <c r="L172" s="2">
        <v>44199</v>
      </c>
      <c r="N172" t="s">
        <v>4018</v>
      </c>
      <c r="O172" t="s">
        <v>873</v>
      </c>
      <c r="P172" t="s">
        <v>394</v>
      </c>
      <c r="Q172" t="s">
        <v>4172</v>
      </c>
      <c r="R172" s="2">
        <v>44929</v>
      </c>
      <c r="S172" s="2">
        <v>44205</v>
      </c>
      <c r="T172" t="s">
        <v>4018</v>
      </c>
      <c r="U172" t="s">
        <v>44</v>
      </c>
      <c r="V172" s="2">
        <v>36082</v>
      </c>
      <c r="W172" s="2">
        <v>37298</v>
      </c>
      <c r="X172" t="s">
        <v>51</v>
      </c>
    </row>
    <row r="173" spans="1:24" x14ac:dyDescent="0.2">
      <c r="A173" t="s">
        <v>4173</v>
      </c>
      <c r="B173" t="s">
        <v>390</v>
      </c>
      <c r="D173" t="s">
        <v>1012</v>
      </c>
      <c r="I173" t="s">
        <v>4174</v>
      </c>
      <c r="J173" t="s">
        <v>1016</v>
      </c>
      <c r="K173" t="s">
        <v>4175</v>
      </c>
      <c r="L173" s="2">
        <v>43101</v>
      </c>
      <c r="N173" t="s">
        <v>4018</v>
      </c>
      <c r="O173" t="s">
        <v>156</v>
      </c>
      <c r="P173" t="s">
        <v>4176</v>
      </c>
      <c r="Q173" t="s">
        <v>4175</v>
      </c>
      <c r="R173" s="2">
        <v>42736</v>
      </c>
      <c r="S173" s="2">
        <v>44929</v>
      </c>
      <c r="U173" t="s">
        <v>1486</v>
      </c>
      <c r="V173" s="2">
        <v>33240</v>
      </c>
      <c r="W173" s="2">
        <v>33602</v>
      </c>
      <c r="X173" t="s">
        <v>51</v>
      </c>
    </row>
    <row r="174" spans="1:24" x14ac:dyDescent="0.2">
      <c r="A174" t="s">
        <v>4177</v>
      </c>
      <c r="B174" t="s">
        <v>390</v>
      </c>
      <c r="D174" t="s">
        <v>1695</v>
      </c>
      <c r="E174" t="s">
        <v>1696</v>
      </c>
      <c r="G174" t="s">
        <v>4178</v>
      </c>
      <c r="I174" t="s">
        <v>1697</v>
      </c>
      <c r="J174" t="s">
        <v>4179</v>
      </c>
      <c r="K174" t="s">
        <v>4180</v>
      </c>
      <c r="L174" s="2">
        <v>42736</v>
      </c>
      <c r="N174" t="s">
        <v>4181</v>
      </c>
      <c r="O174" t="s">
        <v>2507</v>
      </c>
      <c r="P174" t="s">
        <v>4182</v>
      </c>
      <c r="Q174" t="s">
        <v>4183</v>
      </c>
      <c r="R174" s="2">
        <v>42372</v>
      </c>
      <c r="S174" s="2">
        <v>42736</v>
      </c>
      <c r="T174" t="s">
        <v>4012</v>
      </c>
      <c r="U174" t="s">
        <v>325</v>
      </c>
      <c r="V174" s="2">
        <v>37013</v>
      </c>
      <c r="W174" s="2">
        <v>38007</v>
      </c>
      <c r="X174" t="s">
        <v>51</v>
      </c>
    </row>
    <row r="175" spans="1:24" x14ac:dyDescent="0.2">
      <c r="A175" t="s">
        <v>4184</v>
      </c>
      <c r="B175" t="s">
        <v>390</v>
      </c>
      <c r="D175" t="s">
        <v>2223</v>
      </c>
      <c r="E175" t="s">
        <v>2224</v>
      </c>
      <c r="G175" t="s">
        <v>4185</v>
      </c>
      <c r="I175" t="s">
        <v>2226</v>
      </c>
      <c r="J175" t="s">
        <v>657</v>
      </c>
      <c r="K175" t="s">
        <v>2355</v>
      </c>
      <c r="L175" s="2">
        <v>41643</v>
      </c>
      <c r="N175" t="s">
        <v>4018</v>
      </c>
      <c r="O175" t="s">
        <v>156</v>
      </c>
      <c r="P175" t="s">
        <v>657</v>
      </c>
      <c r="Q175" t="s">
        <v>4186</v>
      </c>
      <c r="R175" s="2">
        <v>40912</v>
      </c>
      <c r="S175" s="2">
        <v>41643</v>
      </c>
      <c r="T175" t="s">
        <v>4018</v>
      </c>
      <c r="U175" t="s">
        <v>156</v>
      </c>
      <c r="V175" s="2">
        <v>38732</v>
      </c>
      <c r="W175" s="2">
        <v>39406</v>
      </c>
      <c r="X175" t="s">
        <v>51</v>
      </c>
    </row>
    <row r="176" spans="1:24" x14ac:dyDescent="0.2">
      <c r="A176" t="s">
        <v>4187</v>
      </c>
      <c r="B176" t="s">
        <v>390</v>
      </c>
      <c r="D176" t="s">
        <v>3004</v>
      </c>
      <c r="E176" t="s">
        <v>3005</v>
      </c>
      <c r="I176" t="s">
        <v>4188</v>
      </c>
      <c r="J176" t="s">
        <v>4189</v>
      </c>
      <c r="K176" t="s">
        <v>3501</v>
      </c>
      <c r="L176" s="2">
        <v>47119</v>
      </c>
      <c r="N176" t="s">
        <v>4012</v>
      </c>
      <c r="O176" t="s">
        <v>67</v>
      </c>
      <c r="P176" t="s">
        <v>46</v>
      </c>
      <c r="Q176" t="s">
        <v>2364</v>
      </c>
      <c r="R176" s="2">
        <v>44562</v>
      </c>
      <c r="S176" s="2">
        <v>44929</v>
      </c>
      <c r="U176" t="s">
        <v>46</v>
      </c>
      <c r="V176" s="2">
        <v>33240</v>
      </c>
      <c r="W176" s="2">
        <v>33602</v>
      </c>
      <c r="X176" t="s">
        <v>51</v>
      </c>
    </row>
    <row r="177" spans="1:24" x14ac:dyDescent="0.2">
      <c r="A177" t="s">
        <v>4190</v>
      </c>
      <c r="B177" t="s">
        <v>185</v>
      </c>
      <c r="D177" t="s">
        <v>184</v>
      </c>
      <c r="I177" t="s">
        <v>187</v>
      </c>
      <c r="X177" t="s">
        <v>51</v>
      </c>
    </row>
    <row r="178" spans="1:24" x14ac:dyDescent="0.2">
      <c r="A178" t="s">
        <v>4191</v>
      </c>
      <c r="B178" t="s">
        <v>185</v>
      </c>
      <c r="D178" t="s">
        <v>2309</v>
      </c>
      <c r="I178" t="s">
        <v>4192</v>
      </c>
      <c r="J178" t="s">
        <v>4193</v>
      </c>
      <c r="K178" t="s">
        <v>4194</v>
      </c>
      <c r="L178" s="2">
        <v>46028</v>
      </c>
      <c r="O178" t="s">
        <v>912</v>
      </c>
      <c r="V178" s="2">
        <v>37013</v>
      </c>
      <c r="W178" s="2">
        <v>37649</v>
      </c>
      <c r="X178" t="s">
        <v>51</v>
      </c>
    </row>
    <row r="179" spans="1:24" x14ac:dyDescent="0.2">
      <c r="A179" t="s">
        <v>4195</v>
      </c>
      <c r="B179" t="s">
        <v>977</v>
      </c>
      <c r="D179" t="s">
        <v>1891</v>
      </c>
      <c r="X179" t="s">
        <v>51</v>
      </c>
    </row>
    <row r="180" spans="1:24" x14ac:dyDescent="0.2">
      <c r="A180" t="s">
        <v>4196</v>
      </c>
      <c r="B180" t="s">
        <v>820</v>
      </c>
      <c r="D180" t="s">
        <v>819</v>
      </c>
      <c r="E180" t="s">
        <v>821</v>
      </c>
      <c r="G180" t="s">
        <v>4197</v>
      </c>
      <c r="I180" t="s">
        <v>822</v>
      </c>
      <c r="J180" t="s">
        <v>824</v>
      </c>
      <c r="K180" t="s">
        <v>157</v>
      </c>
      <c r="L180" s="2">
        <v>40911</v>
      </c>
      <c r="N180" t="s">
        <v>4018</v>
      </c>
      <c r="O180" t="s">
        <v>156</v>
      </c>
      <c r="P180" t="s">
        <v>4198</v>
      </c>
      <c r="Q180" t="s">
        <v>40</v>
      </c>
      <c r="R180" s="2">
        <v>44205</v>
      </c>
      <c r="S180" s="2">
        <v>40912</v>
      </c>
      <c r="T180" t="s">
        <v>4012</v>
      </c>
      <c r="U180" t="s">
        <v>44</v>
      </c>
      <c r="V180" s="2">
        <v>38159</v>
      </c>
      <c r="W180" s="2">
        <v>38860</v>
      </c>
      <c r="X180" t="s">
        <v>51</v>
      </c>
    </row>
    <row r="181" spans="1:24" x14ac:dyDescent="0.2">
      <c r="A181" t="s">
        <v>4199</v>
      </c>
      <c r="B181" t="s">
        <v>1163</v>
      </c>
      <c r="D181" t="s">
        <v>1162</v>
      </c>
      <c r="E181" t="s">
        <v>1164</v>
      </c>
      <c r="G181" t="s">
        <v>4200</v>
      </c>
      <c r="I181" t="s">
        <v>1165</v>
      </c>
      <c r="J181" t="s">
        <v>1167</v>
      </c>
      <c r="K181" t="s">
        <v>4201</v>
      </c>
      <c r="L181" s="2">
        <v>43474</v>
      </c>
      <c r="N181" t="s">
        <v>4202</v>
      </c>
      <c r="O181" t="s">
        <v>912</v>
      </c>
      <c r="P181" t="s">
        <v>4203</v>
      </c>
      <c r="Q181" t="s">
        <v>4204</v>
      </c>
      <c r="R181" s="2">
        <v>42744</v>
      </c>
      <c r="S181" s="2">
        <v>44929</v>
      </c>
      <c r="T181" t="s">
        <v>4018</v>
      </c>
      <c r="U181" t="s">
        <v>183</v>
      </c>
      <c r="V181" s="2">
        <v>38007</v>
      </c>
      <c r="W181" s="2">
        <v>38860</v>
      </c>
      <c r="X181" t="s">
        <v>51</v>
      </c>
    </row>
    <row r="182" spans="1:24" x14ac:dyDescent="0.2">
      <c r="A182" t="s">
        <v>4205</v>
      </c>
      <c r="B182" t="s">
        <v>1163</v>
      </c>
      <c r="D182" t="s">
        <v>2840</v>
      </c>
      <c r="E182" t="s">
        <v>2841</v>
      </c>
      <c r="G182" t="s">
        <v>4206</v>
      </c>
      <c r="I182" t="s">
        <v>2842</v>
      </c>
      <c r="J182" t="s">
        <v>2843</v>
      </c>
      <c r="K182" t="s">
        <v>4207</v>
      </c>
      <c r="L182" s="2">
        <v>44563</v>
      </c>
      <c r="N182" t="s">
        <v>4208</v>
      </c>
      <c r="O182" t="s">
        <v>980</v>
      </c>
      <c r="P182" t="s">
        <v>4209</v>
      </c>
      <c r="Q182" t="s">
        <v>4207</v>
      </c>
      <c r="R182" s="2">
        <v>43111</v>
      </c>
      <c r="S182" s="2">
        <v>44563</v>
      </c>
      <c r="U182" t="s">
        <v>980</v>
      </c>
      <c r="V182" s="2">
        <v>38475</v>
      </c>
      <c r="W182" s="2">
        <v>39083</v>
      </c>
      <c r="X182" t="s">
        <v>51</v>
      </c>
    </row>
    <row r="183" spans="1:24" x14ac:dyDescent="0.2">
      <c r="A183" t="s">
        <v>4210</v>
      </c>
      <c r="B183" t="s">
        <v>1163</v>
      </c>
      <c r="D183" t="s">
        <v>3096</v>
      </c>
      <c r="E183" t="s">
        <v>3097</v>
      </c>
      <c r="I183" t="s">
        <v>3098</v>
      </c>
      <c r="J183" t="s">
        <v>4211</v>
      </c>
      <c r="K183" t="s">
        <v>4212</v>
      </c>
      <c r="L183" s="2">
        <v>43474</v>
      </c>
      <c r="N183" t="s">
        <v>4145</v>
      </c>
      <c r="O183" t="s">
        <v>1061</v>
      </c>
      <c r="P183" t="s">
        <v>3100</v>
      </c>
      <c r="Q183" t="s">
        <v>4213</v>
      </c>
      <c r="R183" s="2">
        <v>42013</v>
      </c>
      <c r="S183" s="2">
        <v>44929</v>
      </c>
      <c r="U183" t="s">
        <v>67</v>
      </c>
      <c r="V183" s="2">
        <v>36280</v>
      </c>
      <c r="W183" s="2">
        <v>37649</v>
      </c>
      <c r="X183" t="s">
        <v>51</v>
      </c>
    </row>
    <row r="184" spans="1:24" x14ac:dyDescent="0.2">
      <c r="A184" t="s">
        <v>4214</v>
      </c>
      <c r="B184" t="s">
        <v>1843</v>
      </c>
      <c r="D184" t="s">
        <v>1842</v>
      </c>
      <c r="E184" t="s">
        <v>1844</v>
      </c>
      <c r="I184" t="s">
        <v>1845</v>
      </c>
      <c r="J184" t="s">
        <v>521</v>
      </c>
      <c r="K184" t="s">
        <v>4215</v>
      </c>
      <c r="L184" s="2">
        <v>42736</v>
      </c>
      <c r="O184" t="s">
        <v>156</v>
      </c>
      <c r="P184" t="s">
        <v>1846</v>
      </c>
      <c r="Q184" t="s">
        <v>157</v>
      </c>
      <c r="R184" s="2">
        <v>44935</v>
      </c>
      <c r="S184" s="2">
        <v>40912</v>
      </c>
      <c r="U184" t="s">
        <v>156</v>
      </c>
      <c r="V184" s="2">
        <v>37387</v>
      </c>
      <c r="W184" s="2">
        <v>38007</v>
      </c>
      <c r="X184" t="s">
        <v>51</v>
      </c>
    </row>
    <row r="185" spans="1:24" x14ac:dyDescent="0.2">
      <c r="A185" t="s">
        <v>4216</v>
      </c>
      <c r="B185" t="s">
        <v>1843</v>
      </c>
      <c r="D185" t="s">
        <v>2086</v>
      </c>
      <c r="E185" t="s">
        <v>2087</v>
      </c>
      <c r="I185" t="s">
        <v>4217</v>
      </c>
      <c r="J185" t="s">
        <v>1836</v>
      </c>
      <c r="K185" t="s">
        <v>4218</v>
      </c>
      <c r="L185" s="2">
        <v>43112</v>
      </c>
      <c r="N185" t="s">
        <v>4012</v>
      </c>
      <c r="O185" t="s">
        <v>309</v>
      </c>
      <c r="P185" t="s">
        <v>1836</v>
      </c>
      <c r="Q185" t="s">
        <v>4219</v>
      </c>
      <c r="R185" s="2">
        <v>43104</v>
      </c>
      <c r="S185" s="2">
        <v>43112</v>
      </c>
      <c r="T185" t="s">
        <v>4012</v>
      </c>
      <c r="U185" t="s">
        <v>309</v>
      </c>
      <c r="V185" s="2">
        <v>40568</v>
      </c>
      <c r="W185" s="2">
        <v>41407</v>
      </c>
      <c r="X185" t="s">
        <v>453</v>
      </c>
    </row>
    <row r="186" spans="1:24" x14ac:dyDescent="0.2">
      <c r="A186" t="s">
        <v>4220</v>
      </c>
      <c r="B186" t="s">
        <v>1843</v>
      </c>
      <c r="D186" t="s">
        <v>2868</v>
      </c>
      <c r="E186" t="s">
        <v>2869</v>
      </c>
      <c r="I186" t="s">
        <v>2870</v>
      </c>
      <c r="J186" t="s">
        <v>2871</v>
      </c>
      <c r="K186" t="s">
        <v>4221</v>
      </c>
      <c r="L186" s="2">
        <v>44205</v>
      </c>
      <c r="N186" t="s">
        <v>4012</v>
      </c>
      <c r="O186" t="s">
        <v>156</v>
      </c>
      <c r="P186" t="s">
        <v>611</v>
      </c>
      <c r="Q186" t="s">
        <v>4222</v>
      </c>
      <c r="R186" t="s">
        <v>4223</v>
      </c>
      <c r="S186" t="s">
        <v>3883</v>
      </c>
      <c r="T186" t="s">
        <v>4012</v>
      </c>
      <c r="U186" t="s">
        <v>156</v>
      </c>
      <c r="V186" s="2">
        <v>33240</v>
      </c>
      <c r="W186" s="2">
        <v>34233</v>
      </c>
      <c r="X186" t="s">
        <v>51</v>
      </c>
    </row>
    <row r="187" spans="1:24" x14ac:dyDescent="0.2">
      <c r="A187" t="s">
        <v>4224</v>
      </c>
      <c r="B187" t="s">
        <v>2007</v>
      </c>
      <c r="D187" t="s">
        <v>4225</v>
      </c>
      <c r="X187" t="s">
        <v>51</v>
      </c>
    </row>
    <row r="188" spans="1:24" x14ac:dyDescent="0.2">
      <c r="A188" t="s">
        <v>4226</v>
      </c>
      <c r="B188" t="s">
        <v>2007</v>
      </c>
      <c r="D188" t="s">
        <v>2006</v>
      </c>
      <c r="I188" t="s">
        <v>2008</v>
      </c>
      <c r="J188" t="s">
        <v>4227</v>
      </c>
      <c r="K188" t="s">
        <v>4228</v>
      </c>
      <c r="L188" s="2">
        <v>43466</v>
      </c>
      <c r="N188" t="s">
        <v>4012</v>
      </c>
      <c r="O188" t="s">
        <v>641</v>
      </c>
      <c r="P188" t="s">
        <v>4229</v>
      </c>
      <c r="Q188" t="s">
        <v>4230</v>
      </c>
      <c r="R188" s="2">
        <v>43467</v>
      </c>
      <c r="S188" s="2">
        <v>43474</v>
      </c>
      <c r="T188" t="s">
        <v>4012</v>
      </c>
      <c r="U188" t="s">
        <v>452</v>
      </c>
      <c r="V188" t="s">
        <v>4231</v>
      </c>
      <c r="X188" t="s">
        <v>51</v>
      </c>
    </row>
    <row r="189" spans="1:24" x14ac:dyDescent="0.2">
      <c r="A189" t="s">
        <v>4232</v>
      </c>
      <c r="B189" t="s">
        <v>2007</v>
      </c>
      <c r="D189" t="s">
        <v>3091</v>
      </c>
      <c r="E189" t="s">
        <v>3092</v>
      </c>
      <c r="G189" t="s">
        <v>4233</v>
      </c>
      <c r="I189" t="s">
        <v>3093</v>
      </c>
      <c r="J189" t="s">
        <v>355</v>
      </c>
      <c r="K189" t="s">
        <v>4234</v>
      </c>
      <c r="L189" s="2">
        <v>41282</v>
      </c>
      <c r="N189" t="s">
        <v>4018</v>
      </c>
      <c r="O189" t="s">
        <v>156</v>
      </c>
      <c r="P189" t="s">
        <v>355</v>
      </c>
      <c r="Q189" t="s">
        <v>212</v>
      </c>
      <c r="R189" s="2">
        <v>44203</v>
      </c>
      <c r="S189" s="2">
        <v>41281</v>
      </c>
      <c r="T189" t="s">
        <v>4018</v>
      </c>
      <c r="U189" t="s">
        <v>156</v>
      </c>
      <c r="V189" s="2">
        <v>38797</v>
      </c>
      <c r="W189" s="2">
        <v>39882</v>
      </c>
      <c r="X189" t="s">
        <v>51</v>
      </c>
    </row>
    <row r="190" spans="1:24" x14ac:dyDescent="0.2">
      <c r="A190" t="s">
        <v>4235</v>
      </c>
      <c r="B190" t="s">
        <v>2251</v>
      </c>
      <c r="D190" t="s">
        <v>2250</v>
      </c>
      <c r="E190" t="s">
        <v>4236</v>
      </c>
      <c r="G190" t="s">
        <v>4237</v>
      </c>
      <c r="H190" t="s">
        <v>4238</v>
      </c>
      <c r="I190" t="s">
        <v>4239</v>
      </c>
      <c r="J190" t="s">
        <v>2255</v>
      </c>
      <c r="K190" t="s">
        <v>4201</v>
      </c>
      <c r="L190" s="2">
        <v>42736</v>
      </c>
      <c r="N190" t="s">
        <v>4012</v>
      </c>
      <c r="O190" t="s">
        <v>2507</v>
      </c>
      <c r="P190" t="s">
        <v>4240</v>
      </c>
      <c r="Q190" t="s">
        <v>4241</v>
      </c>
      <c r="R190" s="2">
        <v>41644</v>
      </c>
      <c r="S190" s="2">
        <v>42736</v>
      </c>
      <c r="T190" t="s">
        <v>4012</v>
      </c>
      <c r="U190" t="s">
        <v>156</v>
      </c>
      <c r="V190" s="2">
        <v>37797</v>
      </c>
      <c r="X190" t="s">
        <v>51</v>
      </c>
    </row>
    <row r="191" spans="1:24" x14ac:dyDescent="0.2">
      <c r="A191" t="s">
        <v>4242</v>
      </c>
      <c r="B191" t="s">
        <v>3350</v>
      </c>
      <c r="D191" t="s">
        <v>3349</v>
      </c>
      <c r="E191" t="s">
        <v>3351</v>
      </c>
      <c r="I191" t="s">
        <v>3353</v>
      </c>
      <c r="J191" t="s">
        <v>75</v>
      </c>
      <c r="X191" t="s">
        <v>51</v>
      </c>
    </row>
    <row r="192" spans="1:24" x14ac:dyDescent="0.2">
      <c r="A192" t="s">
        <v>4243</v>
      </c>
      <c r="B192" t="s">
        <v>1238</v>
      </c>
      <c r="D192" t="s">
        <v>1237</v>
      </c>
      <c r="E192" t="s">
        <v>1239</v>
      </c>
      <c r="G192" t="s">
        <v>4244</v>
      </c>
      <c r="I192" t="s">
        <v>1241</v>
      </c>
      <c r="J192" t="s">
        <v>1243</v>
      </c>
      <c r="K192" t="s">
        <v>4245</v>
      </c>
      <c r="L192" s="2">
        <v>41648</v>
      </c>
      <c r="M192" s="2">
        <v>43477</v>
      </c>
      <c r="O192" t="s">
        <v>388</v>
      </c>
      <c r="P192" t="s">
        <v>1763</v>
      </c>
      <c r="Q192" t="s">
        <v>4246</v>
      </c>
      <c r="R192" s="2">
        <v>42370</v>
      </c>
      <c r="S192" s="2">
        <v>42747</v>
      </c>
      <c r="U192" t="s">
        <v>91</v>
      </c>
      <c r="V192" s="2">
        <v>37387</v>
      </c>
      <c r="X192" t="s">
        <v>51</v>
      </c>
    </row>
    <row r="193" spans="1:24" x14ac:dyDescent="0.2">
      <c r="A193" t="s">
        <v>4247</v>
      </c>
      <c r="B193" t="s">
        <v>1238</v>
      </c>
      <c r="D193" t="s">
        <v>1929</v>
      </c>
      <c r="E193" t="s">
        <v>1930</v>
      </c>
      <c r="I193" t="s">
        <v>1931</v>
      </c>
      <c r="J193" t="s">
        <v>4248</v>
      </c>
      <c r="K193" t="s">
        <v>153</v>
      </c>
      <c r="L193" s="2">
        <v>42370</v>
      </c>
      <c r="N193" t="s">
        <v>4018</v>
      </c>
      <c r="O193" t="s">
        <v>214</v>
      </c>
      <c r="P193" t="s">
        <v>4249</v>
      </c>
      <c r="Q193" t="s">
        <v>4175</v>
      </c>
      <c r="R193" s="2">
        <v>42736</v>
      </c>
      <c r="S193" s="2">
        <v>44929</v>
      </c>
      <c r="U193" t="s">
        <v>309</v>
      </c>
      <c r="V193" s="2">
        <v>37013</v>
      </c>
      <c r="W193" s="2">
        <v>37649</v>
      </c>
      <c r="X193" t="s">
        <v>51</v>
      </c>
    </row>
    <row r="194" spans="1:24" x14ac:dyDescent="0.2">
      <c r="A194" t="s">
        <v>4250</v>
      </c>
      <c r="B194" t="s">
        <v>3332</v>
      </c>
      <c r="D194" t="s">
        <v>3331</v>
      </c>
      <c r="E194" t="s">
        <v>4251</v>
      </c>
      <c r="G194" t="s">
        <v>4252</v>
      </c>
      <c r="I194" t="s">
        <v>4253</v>
      </c>
      <c r="J194" t="s">
        <v>803</v>
      </c>
      <c r="N194" t="s">
        <v>4012</v>
      </c>
      <c r="O194" t="s">
        <v>67</v>
      </c>
      <c r="V194" s="2">
        <v>35104</v>
      </c>
      <c r="W194" s="2">
        <v>36584</v>
      </c>
      <c r="X194" t="s">
        <v>51</v>
      </c>
    </row>
    <row r="195" spans="1:24" x14ac:dyDescent="0.2">
      <c r="A195" t="s">
        <v>4254</v>
      </c>
      <c r="B195" t="s">
        <v>273</v>
      </c>
      <c r="D195" t="s">
        <v>272</v>
      </c>
      <c r="E195" t="s">
        <v>4255</v>
      </c>
      <c r="G195" t="s">
        <v>4256</v>
      </c>
      <c r="I195" t="s">
        <v>276</v>
      </c>
      <c r="J195" t="s">
        <v>277</v>
      </c>
      <c r="K195" t="s">
        <v>4257</v>
      </c>
      <c r="L195" s="2">
        <v>44562</v>
      </c>
      <c r="N195" t="s">
        <v>4012</v>
      </c>
      <c r="O195" t="s">
        <v>357</v>
      </c>
      <c r="P195" t="s">
        <v>4258</v>
      </c>
      <c r="Q195" t="s">
        <v>4259</v>
      </c>
      <c r="R195" s="2">
        <v>43470</v>
      </c>
      <c r="S195" s="2">
        <v>43476</v>
      </c>
      <c r="T195" t="s">
        <v>4012</v>
      </c>
      <c r="U195" t="s">
        <v>641</v>
      </c>
      <c r="V195" s="2">
        <v>41799</v>
      </c>
      <c r="W195" s="2">
        <v>42699</v>
      </c>
      <c r="X195" t="s">
        <v>51</v>
      </c>
    </row>
    <row r="196" spans="1:24" x14ac:dyDescent="0.2">
      <c r="A196" t="s">
        <v>4260</v>
      </c>
      <c r="B196" t="s">
        <v>1639</v>
      </c>
      <c r="D196" t="s">
        <v>1638</v>
      </c>
      <c r="E196" t="s">
        <v>1640</v>
      </c>
      <c r="I196" t="s">
        <v>1641</v>
      </c>
      <c r="J196" t="s">
        <v>1642</v>
      </c>
      <c r="K196" t="s">
        <v>4261</v>
      </c>
      <c r="L196" s="2">
        <v>42736</v>
      </c>
      <c r="N196" t="s">
        <v>4262</v>
      </c>
      <c r="O196" t="s">
        <v>980</v>
      </c>
      <c r="P196" t="s">
        <v>1642</v>
      </c>
      <c r="Q196" t="s">
        <v>4263</v>
      </c>
      <c r="R196" s="2">
        <v>40544</v>
      </c>
      <c r="S196" s="2">
        <v>44929</v>
      </c>
      <c r="T196" t="s">
        <v>4262</v>
      </c>
      <c r="U196" t="s">
        <v>980</v>
      </c>
      <c r="X196" t="s">
        <v>51</v>
      </c>
    </row>
    <row r="197" spans="1:24" x14ac:dyDescent="0.2">
      <c r="A197" t="s">
        <v>4264</v>
      </c>
      <c r="B197" t="s">
        <v>2033</v>
      </c>
      <c r="D197" t="s">
        <v>2032</v>
      </c>
      <c r="E197" t="s">
        <v>2034</v>
      </c>
      <c r="G197" t="s">
        <v>4265</v>
      </c>
      <c r="I197" t="s">
        <v>2036</v>
      </c>
      <c r="J197" t="s">
        <v>4266</v>
      </c>
      <c r="K197" t="s">
        <v>4267</v>
      </c>
      <c r="L197" s="2">
        <v>44562</v>
      </c>
      <c r="N197" t="s">
        <v>4012</v>
      </c>
      <c r="O197" t="s">
        <v>67</v>
      </c>
      <c r="V197" s="2">
        <v>42513</v>
      </c>
      <c r="X197" t="s">
        <v>453</v>
      </c>
    </row>
    <row r="198" spans="1:24" x14ac:dyDescent="0.2">
      <c r="A198" t="s">
        <v>4268</v>
      </c>
      <c r="B198" t="s">
        <v>994</v>
      </c>
      <c r="D198" t="s">
        <v>993</v>
      </c>
      <c r="E198" t="s">
        <v>995</v>
      </c>
      <c r="I198" t="s">
        <v>996</v>
      </c>
      <c r="J198" t="s">
        <v>4269</v>
      </c>
      <c r="K198" t="s">
        <v>4270</v>
      </c>
      <c r="L198" s="2">
        <v>43467</v>
      </c>
      <c r="N198" t="s">
        <v>4271</v>
      </c>
      <c r="O198" t="s">
        <v>4272</v>
      </c>
      <c r="P198" t="s">
        <v>4269</v>
      </c>
      <c r="Q198" t="s">
        <v>4273</v>
      </c>
      <c r="R198" s="2">
        <v>43108</v>
      </c>
      <c r="S198" s="2">
        <v>43467</v>
      </c>
      <c r="T198" t="s">
        <v>4271</v>
      </c>
      <c r="U198" t="s">
        <v>4272</v>
      </c>
      <c r="V198" s="2">
        <v>41058</v>
      </c>
      <c r="W198" s="2">
        <v>41666</v>
      </c>
      <c r="X198" t="s">
        <v>4274</v>
      </c>
    </row>
    <row r="199" spans="1:24" x14ac:dyDescent="0.2">
      <c r="A199" t="s">
        <v>4275</v>
      </c>
      <c r="B199" t="s">
        <v>561</v>
      </c>
      <c r="D199" t="s">
        <v>1067</v>
      </c>
      <c r="E199" t="s">
        <v>4276</v>
      </c>
      <c r="V199" s="2">
        <v>33240</v>
      </c>
      <c r="W199" s="2">
        <v>33602</v>
      </c>
      <c r="X199" t="s">
        <v>51</v>
      </c>
    </row>
    <row r="200" spans="1:24" x14ac:dyDescent="0.2">
      <c r="A200" t="s">
        <v>4277</v>
      </c>
      <c r="B200" t="s">
        <v>561</v>
      </c>
      <c r="D200" t="s">
        <v>1525</v>
      </c>
      <c r="E200" t="s">
        <v>1526</v>
      </c>
      <c r="G200" t="s">
        <v>4278</v>
      </c>
      <c r="I200" t="s">
        <v>1528</v>
      </c>
      <c r="J200" t="s">
        <v>4279</v>
      </c>
      <c r="K200" t="s">
        <v>3589</v>
      </c>
      <c r="L200" s="2">
        <v>42370</v>
      </c>
      <c r="N200" t="s">
        <v>4012</v>
      </c>
      <c r="O200" t="s">
        <v>309</v>
      </c>
      <c r="P200" t="s">
        <v>1530</v>
      </c>
      <c r="Q200" t="s">
        <v>4280</v>
      </c>
      <c r="R200" s="2">
        <v>44935</v>
      </c>
      <c r="S200" s="2">
        <v>44929</v>
      </c>
      <c r="T200" t="s">
        <v>4012</v>
      </c>
      <c r="U200" t="s">
        <v>67</v>
      </c>
      <c r="V200" s="2">
        <v>33240</v>
      </c>
      <c r="W200" s="2">
        <v>34233</v>
      </c>
      <c r="X200" t="s">
        <v>51</v>
      </c>
    </row>
    <row r="201" spans="1:24" x14ac:dyDescent="0.2">
      <c r="A201" t="s">
        <v>4281</v>
      </c>
      <c r="B201" t="s">
        <v>561</v>
      </c>
      <c r="D201" t="s">
        <v>1733</v>
      </c>
      <c r="E201" t="s">
        <v>1734</v>
      </c>
      <c r="G201" t="s">
        <v>4282</v>
      </c>
      <c r="V201" s="2">
        <v>34789</v>
      </c>
      <c r="W201" s="2">
        <v>35564</v>
      </c>
      <c r="X201" t="s">
        <v>51</v>
      </c>
    </row>
    <row r="202" spans="1:24" x14ac:dyDescent="0.2">
      <c r="A202" t="s">
        <v>4283</v>
      </c>
      <c r="B202" t="s">
        <v>561</v>
      </c>
      <c r="D202" t="s">
        <v>2776</v>
      </c>
      <c r="E202" t="s">
        <v>2777</v>
      </c>
      <c r="G202" t="s">
        <v>4284</v>
      </c>
      <c r="I202" t="s">
        <v>2778</v>
      </c>
      <c r="J202" t="s">
        <v>2779</v>
      </c>
      <c r="K202" t="s">
        <v>4285</v>
      </c>
      <c r="L202" s="2">
        <v>44562</v>
      </c>
      <c r="N202" t="s">
        <v>4012</v>
      </c>
      <c r="O202" t="s">
        <v>256</v>
      </c>
      <c r="P202" t="s">
        <v>4286</v>
      </c>
      <c r="Q202" t="s">
        <v>4287</v>
      </c>
      <c r="R202" s="2">
        <v>42376</v>
      </c>
      <c r="S202" s="2">
        <v>44562</v>
      </c>
      <c r="T202" t="s">
        <v>4012</v>
      </c>
      <c r="U202" t="s">
        <v>1053</v>
      </c>
      <c r="V202" s="2">
        <v>36515</v>
      </c>
      <c r="W202" s="2">
        <v>37649</v>
      </c>
      <c r="X202" t="s">
        <v>633</v>
      </c>
    </row>
    <row r="203" spans="1:24" x14ac:dyDescent="0.2">
      <c r="A203" t="s">
        <v>4288</v>
      </c>
      <c r="B203" t="s">
        <v>616</v>
      </c>
      <c r="D203" t="s">
        <v>615</v>
      </c>
      <c r="E203" t="s">
        <v>618</v>
      </c>
      <c r="I203" t="s">
        <v>619</v>
      </c>
      <c r="J203" t="s">
        <v>623</v>
      </c>
      <c r="K203" t="s">
        <v>4289</v>
      </c>
      <c r="L203" s="2">
        <v>43477</v>
      </c>
      <c r="N203" t="s">
        <v>4012</v>
      </c>
      <c r="O203" t="s">
        <v>641</v>
      </c>
      <c r="P203" t="s">
        <v>623</v>
      </c>
      <c r="Q203" t="s">
        <v>4290</v>
      </c>
      <c r="R203" s="2">
        <v>42739</v>
      </c>
      <c r="S203" s="2">
        <v>44929</v>
      </c>
      <c r="T203" t="s">
        <v>4018</v>
      </c>
      <c r="U203" t="s">
        <v>44</v>
      </c>
      <c r="V203" s="2">
        <v>33419</v>
      </c>
      <c r="W203" s="2">
        <v>34233</v>
      </c>
      <c r="X203" t="s">
        <v>51</v>
      </c>
    </row>
    <row r="204" spans="1:24" x14ac:dyDescent="0.2">
      <c r="A204" t="s">
        <v>4291</v>
      </c>
      <c r="B204" t="s">
        <v>616</v>
      </c>
      <c r="D204" t="s">
        <v>3382</v>
      </c>
      <c r="V204" s="2">
        <v>34074</v>
      </c>
      <c r="W204" s="2">
        <v>34236</v>
      </c>
      <c r="X204" t="s">
        <v>51</v>
      </c>
    </row>
    <row r="205" spans="1:24" x14ac:dyDescent="0.2">
      <c r="A205" t="s">
        <v>4292</v>
      </c>
      <c r="B205" t="s">
        <v>1102</v>
      </c>
      <c r="D205" t="s">
        <v>1101</v>
      </c>
      <c r="E205" t="s">
        <v>1103</v>
      </c>
      <c r="G205" t="s">
        <v>4293</v>
      </c>
      <c r="I205" t="s">
        <v>4294</v>
      </c>
      <c r="J205" t="s">
        <v>1109</v>
      </c>
      <c r="K205" t="s">
        <v>3501</v>
      </c>
      <c r="L205" s="2">
        <v>43469</v>
      </c>
      <c r="N205" t="s">
        <v>4012</v>
      </c>
      <c r="O205" t="s">
        <v>67</v>
      </c>
      <c r="P205" t="s">
        <v>4295</v>
      </c>
      <c r="Q205" t="s">
        <v>3501</v>
      </c>
      <c r="R205" s="2">
        <v>42378</v>
      </c>
      <c r="S205" s="2">
        <v>43468</v>
      </c>
      <c r="T205" t="s">
        <v>4012</v>
      </c>
      <c r="U205" t="s">
        <v>67</v>
      </c>
      <c r="V205" s="2">
        <v>39238</v>
      </c>
      <c r="W205" s="2">
        <v>39882</v>
      </c>
      <c r="X205" t="s">
        <v>51</v>
      </c>
    </row>
    <row r="206" spans="1:24" x14ac:dyDescent="0.2">
      <c r="A206" t="s">
        <v>4296</v>
      </c>
      <c r="B206" t="s">
        <v>1102</v>
      </c>
      <c r="D206" t="s">
        <v>1431</v>
      </c>
      <c r="V206" s="2">
        <v>43480</v>
      </c>
      <c r="X206" t="s">
        <v>51</v>
      </c>
    </row>
    <row r="207" spans="1:24" x14ac:dyDescent="0.2">
      <c r="A207" t="s">
        <v>3873</v>
      </c>
      <c r="B207" t="s">
        <v>1102</v>
      </c>
      <c r="D207" t="s">
        <v>1519</v>
      </c>
      <c r="E207" t="s">
        <v>1520</v>
      </c>
      <c r="G207" t="s">
        <v>4297</v>
      </c>
      <c r="I207" t="s">
        <v>4298</v>
      </c>
      <c r="J207" t="s">
        <v>4299</v>
      </c>
      <c r="K207" t="s">
        <v>3876</v>
      </c>
      <c r="L207" s="2">
        <v>44562</v>
      </c>
      <c r="O207" t="s">
        <v>44</v>
      </c>
      <c r="P207" t="s">
        <v>3877</v>
      </c>
      <c r="Q207" t="s">
        <v>4300</v>
      </c>
      <c r="R207" s="2">
        <v>43111</v>
      </c>
      <c r="S207" s="2">
        <v>43477</v>
      </c>
      <c r="U207" t="s">
        <v>581</v>
      </c>
      <c r="X207" t="s">
        <v>51</v>
      </c>
    </row>
    <row r="208" spans="1:24" x14ac:dyDescent="0.2">
      <c r="A208" t="s">
        <v>4301</v>
      </c>
      <c r="B208" t="s">
        <v>1102</v>
      </c>
      <c r="D208" t="s">
        <v>2549</v>
      </c>
      <c r="E208" t="s">
        <v>2550</v>
      </c>
      <c r="G208" t="s">
        <v>4302</v>
      </c>
      <c r="I208" t="s">
        <v>2551</v>
      </c>
      <c r="J208" t="s">
        <v>4303</v>
      </c>
      <c r="L208" s="2">
        <v>44208</v>
      </c>
      <c r="M208" s="2">
        <v>40920</v>
      </c>
      <c r="N208" t="s">
        <v>4304</v>
      </c>
      <c r="O208" t="s">
        <v>602</v>
      </c>
      <c r="P208" t="s">
        <v>4303</v>
      </c>
      <c r="Q208" t="s">
        <v>4305</v>
      </c>
      <c r="R208" s="2">
        <v>44197</v>
      </c>
      <c r="S208" s="2">
        <v>44208</v>
      </c>
      <c r="T208" t="s">
        <v>4304</v>
      </c>
      <c r="U208" t="s">
        <v>602</v>
      </c>
      <c r="V208" s="2">
        <v>39476</v>
      </c>
      <c r="W208" s="2">
        <v>39882</v>
      </c>
      <c r="X208" t="s">
        <v>68</v>
      </c>
    </row>
    <row r="209" spans="1:24" x14ac:dyDescent="0.2">
      <c r="A209" t="s">
        <v>4306</v>
      </c>
      <c r="B209" t="s">
        <v>1102</v>
      </c>
      <c r="D209" t="s">
        <v>2960</v>
      </c>
      <c r="E209" t="s">
        <v>2961</v>
      </c>
      <c r="I209" t="s">
        <v>2962</v>
      </c>
      <c r="J209" t="s">
        <v>4307</v>
      </c>
      <c r="K209" t="s">
        <v>40</v>
      </c>
      <c r="L209" s="2">
        <v>43469</v>
      </c>
      <c r="N209" t="s">
        <v>4018</v>
      </c>
      <c r="O209" t="s">
        <v>214</v>
      </c>
      <c r="P209" t="s">
        <v>355</v>
      </c>
      <c r="Q209" t="s">
        <v>212</v>
      </c>
      <c r="R209" s="2">
        <v>43108</v>
      </c>
      <c r="S209" s="2">
        <v>43469</v>
      </c>
      <c r="T209" t="s">
        <v>4018</v>
      </c>
      <c r="U209" t="s">
        <v>156</v>
      </c>
      <c r="V209" s="2">
        <v>40687</v>
      </c>
      <c r="W209" s="2">
        <v>41771</v>
      </c>
      <c r="X209" t="s">
        <v>51</v>
      </c>
    </row>
    <row r="210" spans="1:24" x14ac:dyDescent="0.2">
      <c r="A210" t="s">
        <v>4308</v>
      </c>
      <c r="B210" t="s">
        <v>1102</v>
      </c>
      <c r="D210" t="s">
        <v>3095</v>
      </c>
      <c r="X210" t="s">
        <v>51</v>
      </c>
    </row>
    <row r="211" spans="1:24" x14ac:dyDescent="0.2">
      <c r="A211" t="s">
        <v>4309</v>
      </c>
      <c r="B211" t="s">
        <v>1102</v>
      </c>
      <c r="D211" t="s">
        <v>3191</v>
      </c>
      <c r="E211" t="s">
        <v>3192</v>
      </c>
      <c r="I211" t="s">
        <v>4310</v>
      </c>
      <c r="J211" t="s">
        <v>171</v>
      </c>
      <c r="K211" t="s">
        <v>4311</v>
      </c>
      <c r="L211" s="2">
        <v>43474</v>
      </c>
      <c r="N211" t="s">
        <v>4012</v>
      </c>
      <c r="O211" t="s">
        <v>67</v>
      </c>
      <c r="P211" t="s">
        <v>4312</v>
      </c>
      <c r="Q211" t="s">
        <v>4313</v>
      </c>
      <c r="R211" s="2">
        <v>43106</v>
      </c>
      <c r="S211" s="2">
        <v>43101</v>
      </c>
      <c r="T211" t="s">
        <v>4012</v>
      </c>
      <c r="U211" t="s">
        <v>887</v>
      </c>
      <c r="V211" s="2">
        <v>43255</v>
      </c>
      <c r="W211" s="2">
        <v>43805</v>
      </c>
      <c r="X211" t="s">
        <v>425</v>
      </c>
    </row>
    <row r="212" spans="1:24" x14ac:dyDescent="0.2">
      <c r="A212" t="s">
        <v>4314</v>
      </c>
      <c r="B212" t="s">
        <v>674</v>
      </c>
      <c r="D212" t="s">
        <v>673</v>
      </c>
      <c r="E212" t="s">
        <v>675</v>
      </c>
      <c r="G212" t="s">
        <v>4315</v>
      </c>
      <c r="I212" t="s">
        <v>676</v>
      </c>
      <c r="J212" t="s">
        <v>424</v>
      </c>
      <c r="K212" t="s">
        <v>4316</v>
      </c>
      <c r="L212" s="2">
        <v>43474</v>
      </c>
      <c r="N212" t="s">
        <v>4012</v>
      </c>
      <c r="O212" t="s">
        <v>106</v>
      </c>
      <c r="P212" t="s">
        <v>4317</v>
      </c>
      <c r="Q212" t="s">
        <v>4318</v>
      </c>
      <c r="R212" s="2">
        <v>42742</v>
      </c>
      <c r="S212" s="2">
        <v>42743</v>
      </c>
      <c r="T212" t="s">
        <v>4018</v>
      </c>
      <c r="U212" t="s">
        <v>1061</v>
      </c>
      <c r="V212" s="2">
        <v>43115</v>
      </c>
      <c r="W212" s="2">
        <v>43402</v>
      </c>
      <c r="X212" t="s">
        <v>51</v>
      </c>
    </row>
    <row r="213" spans="1:24" x14ac:dyDescent="0.2">
      <c r="A213" t="s">
        <v>4319</v>
      </c>
      <c r="B213" t="s">
        <v>674</v>
      </c>
      <c r="D213" t="s">
        <v>1280</v>
      </c>
      <c r="E213" t="s">
        <v>4320</v>
      </c>
      <c r="G213">
        <v>3933332175</v>
      </c>
      <c r="I213" t="s">
        <v>1282</v>
      </c>
      <c r="J213" t="s">
        <v>837</v>
      </c>
      <c r="K213" t="s">
        <v>4321</v>
      </c>
      <c r="L213" s="2">
        <v>42736</v>
      </c>
      <c r="N213" t="s">
        <v>4012</v>
      </c>
      <c r="O213" t="s">
        <v>309</v>
      </c>
      <c r="P213" t="s">
        <v>837</v>
      </c>
      <c r="Q213" t="s">
        <v>4322</v>
      </c>
      <c r="R213" s="2">
        <v>42006</v>
      </c>
      <c r="S213" s="2">
        <v>42381</v>
      </c>
      <c r="T213" t="s">
        <v>4012</v>
      </c>
      <c r="U213" t="s">
        <v>309</v>
      </c>
      <c r="V213" s="2">
        <v>40687</v>
      </c>
      <c r="W213" s="2">
        <v>41708</v>
      </c>
      <c r="X213" t="s">
        <v>51</v>
      </c>
    </row>
    <row r="214" spans="1:24" x14ac:dyDescent="0.2">
      <c r="A214" t="s">
        <v>4323</v>
      </c>
      <c r="B214" t="s">
        <v>674</v>
      </c>
      <c r="D214" t="s">
        <v>1902</v>
      </c>
      <c r="E214" t="s">
        <v>1903</v>
      </c>
      <c r="G214" t="s">
        <v>4324</v>
      </c>
      <c r="I214" t="s">
        <v>4325</v>
      </c>
      <c r="J214" t="s">
        <v>171</v>
      </c>
      <c r="K214" t="s">
        <v>3839</v>
      </c>
      <c r="L214" s="2">
        <v>42744</v>
      </c>
      <c r="N214" t="s">
        <v>4012</v>
      </c>
      <c r="O214" t="s">
        <v>67</v>
      </c>
      <c r="P214" t="s">
        <v>171</v>
      </c>
      <c r="Q214" t="s">
        <v>64</v>
      </c>
      <c r="R214" s="2">
        <v>42011</v>
      </c>
      <c r="S214" s="2">
        <v>44929</v>
      </c>
      <c r="T214" t="s">
        <v>4012</v>
      </c>
      <c r="U214" t="s">
        <v>67</v>
      </c>
      <c r="V214" s="2">
        <v>39238</v>
      </c>
      <c r="W214" s="2">
        <v>39882</v>
      </c>
      <c r="X214" t="s">
        <v>51</v>
      </c>
    </row>
    <row r="215" spans="1:24" x14ac:dyDescent="0.2">
      <c r="A215" t="s">
        <v>4326</v>
      </c>
      <c r="B215" t="s">
        <v>674</v>
      </c>
      <c r="D215" t="s">
        <v>1968</v>
      </c>
      <c r="E215" t="s">
        <v>1969</v>
      </c>
      <c r="I215" t="s">
        <v>1971</v>
      </c>
      <c r="J215" t="s">
        <v>1972</v>
      </c>
      <c r="K215" t="s">
        <v>4327</v>
      </c>
      <c r="L215" s="2">
        <v>44562</v>
      </c>
      <c r="N215" t="s">
        <v>4018</v>
      </c>
      <c r="O215" t="s">
        <v>641</v>
      </c>
      <c r="P215" t="s">
        <v>657</v>
      </c>
      <c r="Q215" t="s">
        <v>3476</v>
      </c>
      <c r="R215" s="2">
        <v>42013</v>
      </c>
      <c r="S215" s="2">
        <v>42743</v>
      </c>
      <c r="T215" t="s">
        <v>4018</v>
      </c>
      <c r="U215" t="s">
        <v>156</v>
      </c>
      <c r="V215" s="2">
        <v>41310</v>
      </c>
      <c r="W215" s="2">
        <v>41771</v>
      </c>
      <c r="X215" t="s">
        <v>51</v>
      </c>
    </row>
    <row r="216" spans="1:24" x14ac:dyDescent="0.2">
      <c r="A216" t="s">
        <v>4328</v>
      </c>
      <c r="B216" t="s">
        <v>674</v>
      </c>
      <c r="D216" t="s">
        <v>2638</v>
      </c>
      <c r="E216" t="s">
        <v>2550</v>
      </c>
      <c r="I216" t="s">
        <v>2641</v>
      </c>
      <c r="V216" s="2">
        <v>43626</v>
      </c>
      <c r="X216" t="s">
        <v>51</v>
      </c>
    </row>
    <row r="217" spans="1:24" x14ac:dyDescent="0.2">
      <c r="A217" t="s">
        <v>4329</v>
      </c>
      <c r="B217" t="s">
        <v>674</v>
      </c>
      <c r="D217" t="s">
        <v>4330</v>
      </c>
      <c r="I217" t="s">
        <v>4331</v>
      </c>
      <c r="J217" t="s">
        <v>171</v>
      </c>
      <c r="K217" t="s">
        <v>3501</v>
      </c>
      <c r="L217" s="2">
        <v>43101</v>
      </c>
      <c r="N217" t="s">
        <v>4012</v>
      </c>
      <c r="O217" t="s">
        <v>67</v>
      </c>
      <c r="P217" t="s">
        <v>46</v>
      </c>
      <c r="Q217" t="s">
        <v>4332</v>
      </c>
      <c r="R217" s="2">
        <v>40910</v>
      </c>
      <c r="S217" s="2">
        <v>44929</v>
      </c>
      <c r="T217" t="s">
        <v>4333</v>
      </c>
      <c r="U217" t="s">
        <v>46</v>
      </c>
      <c r="X217" t="s">
        <v>51</v>
      </c>
    </row>
    <row r="218" spans="1:24" x14ac:dyDescent="0.2">
      <c r="A218" t="s">
        <v>4334</v>
      </c>
      <c r="B218" t="s">
        <v>674</v>
      </c>
      <c r="D218" t="s">
        <v>3319</v>
      </c>
      <c r="E218" t="s">
        <v>3320</v>
      </c>
      <c r="G218">
        <v>4915111411793</v>
      </c>
      <c r="I218" t="s">
        <v>3321</v>
      </c>
      <c r="J218" t="s">
        <v>4266</v>
      </c>
      <c r="K218" t="s">
        <v>4335</v>
      </c>
      <c r="L218" s="2">
        <v>43109</v>
      </c>
      <c r="N218" t="s">
        <v>4336</v>
      </c>
      <c r="O218" t="s">
        <v>3019</v>
      </c>
      <c r="P218" t="s">
        <v>4266</v>
      </c>
      <c r="Q218" t="s">
        <v>4337</v>
      </c>
      <c r="R218" s="2">
        <v>43109</v>
      </c>
      <c r="S218" s="2">
        <v>43470</v>
      </c>
      <c r="T218" t="s">
        <v>4012</v>
      </c>
      <c r="U218" t="s">
        <v>67</v>
      </c>
      <c r="V218" s="2">
        <v>40239</v>
      </c>
      <c r="W218" s="2">
        <v>41639</v>
      </c>
      <c r="X218" t="s">
        <v>51</v>
      </c>
    </row>
    <row r="219" spans="1:24" x14ac:dyDescent="0.2">
      <c r="A219" t="s">
        <v>4338</v>
      </c>
      <c r="B219" t="s">
        <v>1600</v>
      </c>
      <c r="D219" t="s">
        <v>1601</v>
      </c>
      <c r="E219" t="s">
        <v>1602</v>
      </c>
      <c r="I219" t="s">
        <v>4339</v>
      </c>
      <c r="J219" t="s">
        <v>816</v>
      </c>
      <c r="K219" t="s">
        <v>4340</v>
      </c>
      <c r="N219" t="s">
        <v>4341</v>
      </c>
      <c r="O219" t="s">
        <v>156</v>
      </c>
      <c r="X219" t="s">
        <v>51</v>
      </c>
    </row>
    <row r="220" spans="1:24" x14ac:dyDescent="0.2">
      <c r="A220" t="s">
        <v>4342</v>
      </c>
      <c r="B220" t="s">
        <v>2076</v>
      </c>
      <c r="D220" t="s">
        <v>2075</v>
      </c>
      <c r="I220" t="s">
        <v>2078</v>
      </c>
      <c r="V220" s="2">
        <v>43480</v>
      </c>
      <c r="X220" t="s">
        <v>51</v>
      </c>
    </row>
    <row r="221" spans="1:24" x14ac:dyDescent="0.2">
      <c r="A221" t="s">
        <v>4343</v>
      </c>
      <c r="B221" t="s">
        <v>2076</v>
      </c>
      <c r="D221" t="s">
        <v>2596</v>
      </c>
      <c r="E221" t="s">
        <v>2597</v>
      </c>
      <c r="G221" t="s">
        <v>4344</v>
      </c>
      <c r="I221" t="s">
        <v>2598</v>
      </c>
      <c r="J221" t="s">
        <v>171</v>
      </c>
      <c r="K221" t="s">
        <v>4345</v>
      </c>
      <c r="L221" s="2">
        <v>44562</v>
      </c>
      <c r="N221" t="s">
        <v>4346</v>
      </c>
      <c r="O221" t="s">
        <v>67</v>
      </c>
      <c r="P221" t="s">
        <v>4266</v>
      </c>
      <c r="Q221" t="s">
        <v>4347</v>
      </c>
      <c r="R221" s="2">
        <v>43470</v>
      </c>
      <c r="S221" s="2">
        <v>44929</v>
      </c>
      <c r="T221" t="s">
        <v>4012</v>
      </c>
      <c r="U221" t="s">
        <v>67</v>
      </c>
      <c r="V221" s="2">
        <v>42751</v>
      </c>
      <c r="W221" s="2">
        <v>43465</v>
      </c>
      <c r="X221" t="s">
        <v>51</v>
      </c>
    </row>
    <row r="222" spans="1:24" x14ac:dyDescent="0.2">
      <c r="A222" t="s">
        <v>4348</v>
      </c>
      <c r="B222" t="s">
        <v>2076</v>
      </c>
      <c r="D222" t="s">
        <v>2877</v>
      </c>
      <c r="E222" t="s">
        <v>2878</v>
      </c>
      <c r="G222" t="s">
        <v>4349</v>
      </c>
      <c r="I222" t="s">
        <v>2879</v>
      </c>
      <c r="V222" s="2">
        <v>39238</v>
      </c>
      <c r="W222" s="2">
        <v>40330</v>
      </c>
      <c r="X222" t="s">
        <v>51</v>
      </c>
    </row>
    <row r="223" spans="1:24" x14ac:dyDescent="0.2">
      <c r="A223" t="s">
        <v>4350</v>
      </c>
      <c r="B223" t="s">
        <v>2076</v>
      </c>
      <c r="D223" t="s">
        <v>3194</v>
      </c>
      <c r="E223" t="s">
        <v>4351</v>
      </c>
      <c r="F223" t="s">
        <v>3196</v>
      </c>
      <c r="I223" t="s">
        <v>4352</v>
      </c>
      <c r="X223" t="s">
        <v>51</v>
      </c>
    </row>
    <row r="224" spans="1:24" x14ac:dyDescent="0.2">
      <c r="A224" t="s">
        <v>4353</v>
      </c>
      <c r="B224" t="s">
        <v>2539</v>
      </c>
      <c r="D224" t="s">
        <v>2538</v>
      </c>
      <c r="E224" t="s">
        <v>2540</v>
      </c>
      <c r="G224" t="s">
        <v>4354</v>
      </c>
      <c r="I224" t="s">
        <v>2542</v>
      </c>
      <c r="J224" t="s">
        <v>4355</v>
      </c>
      <c r="K224" t="s">
        <v>3589</v>
      </c>
      <c r="L224" s="2">
        <v>42005</v>
      </c>
      <c r="N224" t="s">
        <v>4336</v>
      </c>
      <c r="O224" t="s">
        <v>309</v>
      </c>
      <c r="P224" t="s">
        <v>2544</v>
      </c>
      <c r="Q224" t="s">
        <v>3704</v>
      </c>
      <c r="R224" s="2">
        <v>44197</v>
      </c>
      <c r="S224" s="2">
        <v>41275</v>
      </c>
      <c r="U224" t="s">
        <v>156</v>
      </c>
      <c r="V224" s="2">
        <v>37797</v>
      </c>
      <c r="W224" s="2">
        <v>38475</v>
      </c>
      <c r="X224" t="s">
        <v>51</v>
      </c>
    </row>
    <row r="225" spans="1:25" x14ac:dyDescent="0.2">
      <c r="A225" t="s">
        <v>3591</v>
      </c>
      <c r="B225" t="s">
        <v>693</v>
      </c>
      <c r="C225" t="s">
        <v>1585</v>
      </c>
      <c r="D225" t="s">
        <v>1584</v>
      </c>
      <c r="E225" t="s">
        <v>1586</v>
      </c>
      <c r="G225" t="s">
        <v>4356</v>
      </c>
      <c r="I225" t="s">
        <v>4357</v>
      </c>
      <c r="J225" t="s">
        <v>1588</v>
      </c>
      <c r="K225" t="s">
        <v>3594</v>
      </c>
      <c r="N225" t="s">
        <v>4012</v>
      </c>
      <c r="O225" t="s">
        <v>183</v>
      </c>
      <c r="P225" t="s">
        <v>1589</v>
      </c>
      <c r="Q225" t="s">
        <v>64</v>
      </c>
      <c r="R225" s="2">
        <v>43101</v>
      </c>
      <c r="S225" s="2">
        <v>44929</v>
      </c>
      <c r="T225" t="s">
        <v>4012</v>
      </c>
      <c r="U225" t="s">
        <v>309</v>
      </c>
      <c r="V225" s="2">
        <v>35831</v>
      </c>
      <c r="W225" s="2">
        <v>37298</v>
      </c>
      <c r="X225" t="s">
        <v>51</v>
      </c>
    </row>
    <row r="226" spans="1:25" x14ac:dyDescent="0.2">
      <c r="A226" t="s">
        <v>4358</v>
      </c>
      <c r="B226" t="s">
        <v>734</v>
      </c>
      <c r="D226" t="s">
        <v>733</v>
      </c>
      <c r="E226" t="s">
        <v>735</v>
      </c>
      <c r="G226" t="s">
        <v>4359</v>
      </c>
      <c r="I226" t="s">
        <v>4360</v>
      </c>
      <c r="J226" t="s">
        <v>740</v>
      </c>
      <c r="K226" t="s">
        <v>4361</v>
      </c>
      <c r="L226" s="2">
        <v>43101</v>
      </c>
      <c r="N226" t="s">
        <v>739</v>
      </c>
      <c r="O226" t="s">
        <v>256</v>
      </c>
      <c r="P226" t="s">
        <v>352</v>
      </c>
      <c r="Q226" t="s">
        <v>4362</v>
      </c>
      <c r="R226" s="2">
        <v>42375</v>
      </c>
      <c r="S226" s="2">
        <v>42744</v>
      </c>
      <c r="T226" t="s">
        <v>4363</v>
      </c>
      <c r="U226" t="s">
        <v>256</v>
      </c>
      <c r="V226" s="2">
        <v>39098</v>
      </c>
      <c r="W226" s="2">
        <v>40065</v>
      </c>
      <c r="X226" t="s">
        <v>51</v>
      </c>
    </row>
    <row r="227" spans="1:25" x14ac:dyDescent="0.2">
      <c r="A227" t="s">
        <v>4364</v>
      </c>
      <c r="B227" t="s">
        <v>734</v>
      </c>
      <c r="D227" t="s">
        <v>1152</v>
      </c>
      <c r="E227" t="s">
        <v>1159</v>
      </c>
      <c r="G227" t="s">
        <v>3849</v>
      </c>
      <c r="I227" t="s">
        <v>1160</v>
      </c>
      <c r="V227" s="2">
        <v>33419</v>
      </c>
      <c r="W227" s="2">
        <v>34233</v>
      </c>
      <c r="X227" t="s">
        <v>51</v>
      </c>
    </row>
    <row r="228" spans="1:25" x14ac:dyDescent="0.2">
      <c r="A228" t="s">
        <v>4365</v>
      </c>
      <c r="B228" t="s">
        <v>734</v>
      </c>
      <c r="D228" t="s">
        <v>1471</v>
      </c>
      <c r="E228" t="s">
        <v>1472</v>
      </c>
      <c r="I228" t="s">
        <v>1473</v>
      </c>
      <c r="J228" t="s">
        <v>4366</v>
      </c>
      <c r="K228" t="s">
        <v>4367</v>
      </c>
      <c r="L228" s="2">
        <v>43476</v>
      </c>
      <c r="N228" t="s">
        <v>4012</v>
      </c>
      <c r="O228" t="s">
        <v>106</v>
      </c>
      <c r="P228" t="s">
        <v>424</v>
      </c>
      <c r="Q228" t="s">
        <v>4368</v>
      </c>
      <c r="R228" s="2">
        <v>43470</v>
      </c>
      <c r="S228" s="2">
        <v>43466</v>
      </c>
      <c r="T228" t="s">
        <v>4012</v>
      </c>
      <c r="U228" t="s">
        <v>106</v>
      </c>
      <c r="X228" t="s">
        <v>51</v>
      </c>
    </row>
    <row r="229" spans="1:25" x14ac:dyDescent="0.2">
      <c r="A229" t="s">
        <v>4369</v>
      </c>
      <c r="B229" t="s">
        <v>734</v>
      </c>
      <c r="D229" t="s">
        <v>2662</v>
      </c>
      <c r="E229" t="s">
        <v>2663</v>
      </c>
      <c r="I229" t="s">
        <v>4370</v>
      </c>
      <c r="J229" t="s">
        <v>4371</v>
      </c>
      <c r="K229" t="s">
        <v>4372</v>
      </c>
      <c r="L229" s="2">
        <v>43474</v>
      </c>
      <c r="N229" t="s">
        <v>4018</v>
      </c>
      <c r="O229" t="s">
        <v>357</v>
      </c>
      <c r="P229" t="s">
        <v>4373</v>
      </c>
      <c r="Q229" t="s">
        <v>4374</v>
      </c>
      <c r="R229" s="2">
        <v>43107</v>
      </c>
      <c r="S229" s="2">
        <v>43109</v>
      </c>
      <c r="T229" t="s">
        <v>4375</v>
      </c>
      <c r="U229" t="s">
        <v>136</v>
      </c>
      <c r="V229" s="2">
        <v>42380</v>
      </c>
      <c r="W229" s="2">
        <v>42506</v>
      </c>
      <c r="X229" t="s">
        <v>51</v>
      </c>
    </row>
    <row r="230" spans="1:25" x14ac:dyDescent="0.2">
      <c r="A230" t="s">
        <v>4376</v>
      </c>
      <c r="B230" t="s">
        <v>734</v>
      </c>
      <c r="D230" t="s">
        <v>2955</v>
      </c>
      <c r="V230" s="2">
        <v>43843</v>
      </c>
      <c r="X230" t="s">
        <v>51</v>
      </c>
    </row>
    <row r="231" spans="1:25" x14ac:dyDescent="0.2">
      <c r="A231" t="s">
        <v>4377</v>
      </c>
      <c r="B231" t="s">
        <v>734</v>
      </c>
      <c r="D231" t="s">
        <v>3008</v>
      </c>
      <c r="E231" t="s">
        <v>3015</v>
      </c>
      <c r="G231" t="s">
        <v>4378</v>
      </c>
      <c r="I231" t="s">
        <v>4379</v>
      </c>
      <c r="J231" t="s">
        <v>4380</v>
      </c>
      <c r="K231" t="s">
        <v>4381</v>
      </c>
      <c r="L231" s="2">
        <v>42741</v>
      </c>
      <c r="N231" t="s">
        <v>4012</v>
      </c>
      <c r="O231" t="s">
        <v>3019</v>
      </c>
      <c r="P231" t="s">
        <v>4380</v>
      </c>
      <c r="Q231" t="s">
        <v>3461</v>
      </c>
      <c r="R231" s="2">
        <v>42371</v>
      </c>
      <c r="S231" s="2">
        <v>42741</v>
      </c>
      <c r="T231" t="s">
        <v>4012</v>
      </c>
      <c r="U231" t="s">
        <v>3019</v>
      </c>
      <c r="V231" s="2">
        <v>36655</v>
      </c>
      <c r="W231" s="2">
        <v>37649</v>
      </c>
      <c r="X231" t="s">
        <v>239</v>
      </c>
      <c r="Y231" t="s">
        <v>4382</v>
      </c>
    </row>
    <row r="232" spans="1:25" x14ac:dyDescent="0.2">
      <c r="A232" t="s">
        <v>4383</v>
      </c>
      <c r="B232" t="s">
        <v>226</v>
      </c>
      <c r="D232" t="s">
        <v>225</v>
      </c>
      <c r="I232" t="s">
        <v>228</v>
      </c>
      <c r="J232" t="s">
        <v>229</v>
      </c>
      <c r="K232" t="s">
        <v>4259</v>
      </c>
      <c r="L232" s="2">
        <v>43472</v>
      </c>
      <c r="N232" t="s">
        <v>4012</v>
      </c>
      <c r="O232" t="s">
        <v>214</v>
      </c>
      <c r="P232" t="s">
        <v>230</v>
      </c>
      <c r="Q232" t="s">
        <v>3833</v>
      </c>
      <c r="R232" s="2">
        <v>43112</v>
      </c>
      <c r="S232" s="2">
        <v>43471</v>
      </c>
      <c r="T232" t="s">
        <v>4012</v>
      </c>
      <c r="U232" t="s">
        <v>156</v>
      </c>
      <c r="V232" s="2">
        <v>42751</v>
      </c>
      <c r="W232" s="2">
        <v>43154</v>
      </c>
      <c r="X232" t="s">
        <v>51</v>
      </c>
    </row>
    <row r="233" spans="1:25" x14ac:dyDescent="0.2">
      <c r="A233" t="s">
        <v>4384</v>
      </c>
      <c r="B233" t="s">
        <v>226</v>
      </c>
      <c r="D233" t="s">
        <v>447</v>
      </c>
      <c r="E233" t="s">
        <v>448</v>
      </c>
      <c r="I233" t="s">
        <v>449</v>
      </c>
      <c r="J233" t="s">
        <v>4385</v>
      </c>
      <c r="K233" t="s">
        <v>4386</v>
      </c>
      <c r="L233" s="2">
        <v>42738</v>
      </c>
      <c r="N233" t="s">
        <v>4012</v>
      </c>
      <c r="O233" t="s">
        <v>452</v>
      </c>
      <c r="P233" t="s">
        <v>4385</v>
      </c>
      <c r="Q233" t="s">
        <v>4387</v>
      </c>
      <c r="R233" s="2">
        <v>42006</v>
      </c>
      <c r="S233" s="2">
        <v>42005</v>
      </c>
      <c r="T233" t="s">
        <v>4012</v>
      </c>
      <c r="U233" t="s">
        <v>452</v>
      </c>
      <c r="V233" s="2">
        <v>35831</v>
      </c>
      <c r="W233" s="2">
        <v>37298</v>
      </c>
      <c r="X233" t="s">
        <v>51</v>
      </c>
    </row>
    <row r="234" spans="1:25" x14ac:dyDescent="0.2">
      <c r="A234" t="s">
        <v>4388</v>
      </c>
      <c r="B234" t="s">
        <v>226</v>
      </c>
      <c r="D234" t="s">
        <v>484</v>
      </c>
      <c r="E234" t="s">
        <v>4389</v>
      </c>
      <c r="G234" t="s">
        <v>4390</v>
      </c>
      <c r="H234" t="s">
        <v>4391</v>
      </c>
      <c r="I234" t="s">
        <v>3422</v>
      </c>
      <c r="J234" t="s">
        <v>163</v>
      </c>
      <c r="K234" t="s">
        <v>3493</v>
      </c>
      <c r="L234" s="2">
        <v>44562</v>
      </c>
      <c r="N234" t="s">
        <v>4012</v>
      </c>
      <c r="O234" t="s">
        <v>67</v>
      </c>
      <c r="P234" t="s">
        <v>163</v>
      </c>
      <c r="Q234" t="s">
        <v>4392</v>
      </c>
      <c r="R234" s="2">
        <v>42376</v>
      </c>
      <c r="S234" s="2">
        <v>43477</v>
      </c>
      <c r="T234" t="s">
        <v>4012</v>
      </c>
      <c r="U234" t="s">
        <v>67</v>
      </c>
      <c r="V234" s="2">
        <v>38007</v>
      </c>
      <c r="W234" s="2">
        <v>39083</v>
      </c>
      <c r="X234" t="s">
        <v>51</v>
      </c>
    </row>
    <row r="235" spans="1:25" x14ac:dyDescent="0.2">
      <c r="A235" t="s">
        <v>4393</v>
      </c>
      <c r="B235" t="s">
        <v>226</v>
      </c>
      <c r="D235" t="s">
        <v>517</v>
      </c>
      <c r="E235" t="s">
        <v>518</v>
      </c>
      <c r="G235" t="s">
        <v>4394</v>
      </c>
      <c r="I235" t="s">
        <v>4395</v>
      </c>
      <c r="J235" t="s">
        <v>522</v>
      </c>
      <c r="K235" t="s">
        <v>4396</v>
      </c>
      <c r="L235" s="2">
        <v>44562</v>
      </c>
      <c r="N235" t="s">
        <v>4333</v>
      </c>
      <c r="O235" t="s">
        <v>156</v>
      </c>
      <c r="P235" t="s">
        <v>522</v>
      </c>
      <c r="Q235" t="s">
        <v>4397</v>
      </c>
      <c r="R235" s="2">
        <v>42744</v>
      </c>
      <c r="S235" s="2">
        <v>44562</v>
      </c>
      <c r="T235" t="s">
        <v>4333</v>
      </c>
      <c r="U235" t="s">
        <v>156</v>
      </c>
      <c r="V235" s="2">
        <v>37013</v>
      </c>
      <c r="W235" s="2">
        <v>38007</v>
      </c>
      <c r="X235" t="s">
        <v>51</v>
      </c>
    </row>
    <row r="236" spans="1:25" x14ac:dyDescent="0.2">
      <c r="A236" t="s">
        <v>4398</v>
      </c>
      <c r="B236" t="s">
        <v>226</v>
      </c>
      <c r="D236" t="s">
        <v>1197</v>
      </c>
      <c r="E236" t="s">
        <v>1199</v>
      </c>
      <c r="I236" t="s">
        <v>1207</v>
      </c>
      <c r="J236" t="s">
        <v>631</v>
      </c>
      <c r="K236" t="s">
        <v>3501</v>
      </c>
      <c r="L236" s="2">
        <v>43469</v>
      </c>
      <c r="N236" t="s">
        <v>4012</v>
      </c>
      <c r="O236" t="s">
        <v>67</v>
      </c>
      <c r="P236" t="s">
        <v>424</v>
      </c>
      <c r="Q236" t="s">
        <v>4399</v>
      </c>
      <c r="R236" s="2">
        <v>42006</v>
      </c>
      <c r="S236" s="2">
        <v>42381</v>
      </c>
      <c r="T236" t="s">
        <v>4012</v>
      </c>
      <c r="U236" t="s">
        <v>106</v>
      </c>
      <c r="V236" s="2">
        <v>35488</v>
      </c>
      <c r="W236" s="2">
        <v>35766</v>
      </c>
      <c r="X236" t="s">
        <v>51</v>
      </c>
    </row>
    <row r="237" spans="1:25" x14ac:dyDescent="0.2">
      <c r="A237" t="s">
        <v>4400</v>
      </c>
      <c r="B237" t="s">
        <v>226</v>
      </c>
      <c r="D237" t="s">
        <v>1463</v>
      </c>
      <c r="E237" t="s">
        <v>1464</v>
      </c>
      <c r="I237" t="s">
        <v>1465</v>
      </c>
      <c r="J237" t="s">
        <v>4401</v>
      </c>
      <c r="K237" t="s">
        <v>4402</v>
      </c>
      <c r="L237" s="2">
        <v>43474</v>
      </c>
      <c r="N237" t="s">
        <v>4208</v>
      </c>
      <c r="O237" t="s">
        <v>214</v>
      </c>
      <c r="P237" t="s">
        <v>163</v>
      </c>
      <c r="Q237" t="s">
        <v>4403</v>
      </c>
      <c r="R237" s="2">
        <v>42378</v>
      </c>
      <c r="S237" s="2">
        <v>43474</v>
      </c>
      <c r="T237" t="s">
        <v>4012</v>
      </c>
      <c r="U237" t="s">
        <v>67</v>
      </c>
      <c r="V237" s="2">
        <v>37797</v>
      </c>
      <c r="W237" s="2">
        <v>38007</v>
      </c>
      <c r="X237" t="s">
        <v>51</v>
      </c>
    </row>
    <row r="238" spans="1:25" x14ac:dyDescent="0.2">
      <c r="A238" t="s">
        <v>4404</v>
      </c>
      <c r="B238" t="s">
        <v>226</v>
      </c>
      <c r="D238" t="s">
        <v>1500</v>
      </c>
      <c r="E238" t="s">
        <v>1501</v>
      </c>
      <c r="G238" t="s">
        <v>4405</v>
      </c>
      <c r="I238" t="s">
        <v>4406</v>
      </c>
      <c r="J238" t="s">
        <v>1146</v>
      </c>
      <c r="K238" t="s">
        <v>4407</v>
      </c>
      <c r="L238" s="2">
        <v>43466</v>
      </c>
      <c r="N238" t="s">
        <v>4012</v>
      </c>
      <c r="O238" t="s">
        <v>581</v>
      </c>
      <c r="P238" t="s">
        <v>1146</v>
      </c>
      <c r="Q238" t="s">
        <v>3461</v>
      </c>
      <c r="R238" s="2">
        <v>43112</v>
      </c>
      <c r="S238" s="2">
        <v>43474</v>
      </c>
      <c r="T238" t="s">
        <v>4012</v>
      </c>
      <c r="U238" t="s">
        <v>581</v>
      </c>
      <c r="V238" s="2">
        <v>38860</v>
      </c>
      <c r="W238" s="2">
        <v>40197</v>
      </c>
      <c r="X238" t="s">
        <v>51</v>
      </c>
    </row>
    <row r="239" spans="1:25" x14ac:dyDescent="0.2">
      <c r="A239" t="s">
        <v>4408</v>
      </c>
      <c r="B239" t="s">
        <v>226</v>
      </c>
      <c r="D239" t="s">
        <v>1569</v>
      </c>
      <c r="E239" t="s">
        <v>1570</v>
      </c>
      <c r="G239" t="s">
        <v>4409</v>
      </c>
      <c r="I239" t="s">
        <v>1571</v>
      </c>
      <c r="J239" t="s">
        <v>4410</v>
      </c>
      <c r="K239" t="s">
        <v>4382</v>
      </c>
      <c r="L239" s="2">
        <v>43476</v>
      </c>
      <c r="O239" t="s">
        <v>309</v>
      </c>
      <c r="P239" t="s">
        <v>4411</v>
      </c>
      <c r="Q239" t="s">
        <v>4382</v>
      </c>
      <c r="R239" s="2">
        <v>43472</v>
      </c>
      <c r="S239" s="2">
        <v>44929</v>
      </c>
      <c r="T239" t="s">
        <v>4012</v>
      </c>
      <c r="U239" t="s">
        <v>602</v>
      </c>
      <c r="V239" s="2">
        <v>35488</v>
      </c>
      <c r="W239" s="2">
        <v>37298</v>
      </c>
      <c r="X239" t="s">
        <v>453</v>
      </c>
    </row>
    <row r="240" spans="1:25" x14ac:dyDescent="0.2">
      <c r="A240" t="s">
        <v>4412</v>
      </c>
      <c r="B240" t="s">
        <v>226</v>
      </c>
      <c r="D240" t="s">
        <v>1605</v>
      </c>
      <c r="E240" t="s">
        <v>1606</v>
      </c>
      <c r="G240" t="s">
        <v>4413</v>
      </c>
      <c r="I240" t="s">
        <v>4414</v>
      </c>
      <c r="J240" t="s">
        <v>4415</v>
      </c>
      <c r="K240" t="s">
        <v>3655</v>
      </c>
      <c r="L240" s="2">
        <v>41643</v>
      </c>
      <c r="N240" t="s">
        <v>4012</v>
      </c>
      <c r="O240" t="s">
        <v>388</v>
      </c>
      <c r="P240" t="s">
        <v>650</v>
      </c>
      <c r="Q240" t="s">
        <v>3555</v>
      </c>
      <c r="R240" s="2">
        <v>43104</v>
      </c>
      <c r="S240" s="2">
        <v>43107</v>
      </c>
      <c r="T240" t="s">
        <v>4018</v>
      </c>
      <c r="U240" t="s">
        <v>67</v>
      </c>
      <c r="V240" s="2">
        <v>41310</v>
      </c>
      <c r="W240" s="2">
        <v>42159</v>
      </c>
      <c r="X240" t="s">
        <v>51</v>
      </c>
    </row>
    <row r="241" spans="1:24" x14ac:dyDescent="0.2">
      <c r="A241" t="s">
        <v>4416</v>
      </c>
      <c r="B241" t="s">
        <v>226</v>
      </c>
      <c r="D241" t="s">
        <v>1706</v>
      </c>
      <c r="E241" t="s">
        <v>1707</v>
      </c>
      <c r="G241" t="s">
        <v>4417</v>
      </c>
      <c r="I241" t="s">
        <v>1708</v>
      </c>
      <c r="J241" t="s">
        <v>1709</v>
      </c>
      <c r="K241" t="s">
        <v>4204</v>
      </c>
      <c r="L241" s="2">
        <v>43466</v>
      </c>
      <c r="N241" t="s">
        <v>4418</v>
      </c>
      <c r="O241" t="s">
        <v>67</v>
      </c>
      <c r="P241" t="s">
        <v>4419</v>
      </c>
      <c r="Q241" t="s">
        <v>4204</v>
      </c>
      <c r="R241" s="2">
        <v>43466</v>
      </c>
      <c r="S241" s="2">
        <v>44929</v>
      </c>
      <c r="T241" t="s">
        <v>4418</v>
      </c>
      <c r="U241" t="s">
        <v>309</v>
      </c>
      <c r="V241" s="2">
        <v>41666</v>
      </c>
      <c r="W241" s="2">
        <v>42786</v>
      </c>
      <c r="X241" t="s">
        <v>51</v>
      </c>
    </row>
    <row r="242" spans="1:24" x14ac:dyDescent="0.2">
      <c r="A242" t="s">
        <v>4420</v>
      </c>
      <c r="B242" t="s">
        <v>226</v>
      </c>
      <c r="D242" t="s">
        <v>1721</v>
      </c>
      <c r="E242" t="s">
        <v>1722</v>
      </c>
      <c r="G242" t="s">
        <v>4421</v>
      </c>
      <c r="I242" t="s">
        <v>1723</v>
      </c>
      <c r="J242" t="s">
        <v>532</v>
      </c>
      <c r="K242" t="s">
        <v>4422</v>
      </c>
      <c r="L242" s="2">
        <v>43103</v>
      </c>
      <c r="N242" t="s">
        <v>4012</v>
      </c>
      <c r="O242" t="s">
        <v>156</v>
      </c>
      <c r="P242" t="s">
        <v>532</v>
      </c>
      <c r="Q242" t="s">
        <v>4423</v>
      </c>
      <c r="R242" s="2">
        <v>42737</v>
      </c>
      <c r="S242" s="2">
        <v>44929</v>
      </c>
      <c r="T242" t="s">
        <v>4012</v>
      </c>
      <c r="U242" t="s">
        <v>156</v>
      </c>
      <c r="V242" s="2">
        <v>35488</v>
      </c>
      <c r="W242" s="2">
        <v>35674</v>
      </c>
      <c r="X242" t="s">
        <v>51</v>
      </c>
    </row>
    <row r="243" spans="1:24" x14ac:dyDescent="0.2">
      <c r="A243" t="s">
        <v>4424</v>
      </c>
      <c r="B243" t="s">
        <v>226</v>
      </c>
      <c r="D243" t="s">
        <v>1820</v>
      </c>
      <c r="E243" t="s">
        <v>1821</v>
      </c>
      <c r="F243" t="s">
        <v>4425</v>
      </c>
      <c r="G243" t="s">
        <v>4426</v>
      </c>
      <c r="I243" t="s">
        <v>1823</v>
      </c>
      <c r="X243" t="s">
        <v>51</v>
      </c>
    </row>
    <row r="244" spans="1:24" x14ac:dyDescent="0.2">
      <c r="A244" t="s">
        <v>4427</v>
      </c>
      <c r="B244" t="s">
        <v>226</v>
      </c>
      <c r="D244" t="s">
        <v>1923</v>
      </c>
      <c r="E244" t="s">
        <v>1924</v>
      </c>
      <c r="G244" t="s">
        <v>4428</v>
      </c>
      <c r="I244" t="s">
        <v>4429</v>
      </c>
      <c r="J244" t="s">
        <v>1927</v>
      </c>
      <c r="K244" t="s">
        <v>4430</v>
      </c>
      <c r="L244" s="2">
        <v>43109</v>
      </c>
      <c r="N244" t="s">
        <v>4431</v>
      </c>
      <c r="O244" t="s">
        <v>980</v>
      </c>
      <c r="P244" t="s">
        <v>1927</v>
      </c>
      <c r="Q244" t="s">
        <v>4432</v>
      </c>
      <c r="R244" s="2">
        <v>42008</v>
      </c>
      <c r="S244" s="2">
        <v>43108</v>
      </c>
      <c r="T244" t="s">
        <v>4030</v>
      </c>
      <c r="U244" t="s">
        <v>980</v>
      </c>
      <c r="V244" s="2">
        <v>38896</v>
      </c>
      <c r="W244" s="2">
        <v>39155</v>
      </c>
      <c r="X244" t="s">
        <v>51</v>
      </c>
    </row>
    <row r="245" spans="1:24" x14ac:dyDescent="0.2">
      <c r="A245" t="s">
        <v>4433</v>
      </c>
      <c r="B245" t="s">
        <v>226</v>
      </c>
      <c r="D245" t="s">
        <v>2183</v>
      </c>
      <c r="E245" t="s">
        <v>2184</v>
      </c>
      <c r="I245" t="s">
        <v>2185</v>
      </c>
      <c r="J245" t="s">
        <v>4434</v>
      </c>
      <c r="K245" t="s">
        <v>4435</v>
      </c>
      <c r="L245" s="2">
        <v>43105</v>
      </c>
      <c r="N245" t="s">
        <v>1560</v>
      </c>
      <c r="O245" t="s">
        <v>106</v>
      </c>
      <c r="P245" t="s">
        <v>2187</v>
      </c>
      <c r="Q245" t="s">
        <v>4436</v>
      </c>
      <c r="R245" s="2">
        <v>44927</v>
      </c>
      <c r="S245" s="2">
        <v>44929</v>
      </c>
      <c r="T245" t="s">
        <v>4341</v>
      </c>
      <c r="U245" t="s">
        <v>106</v>
      </c>
      <c r="V245" s="2">
        <v>33240</v>
      </c>
      <c r="W245" s="2">
        <v>34347</v>
      </c>
      <c r="X245" t="s">
        <v>453</v>
      </c>
    </row>
    <row r="246" spans="1:24" x14ac:dyDescent="0.2">
      <c r="A246" t="s">
        <v>4437</v>
      </c>
      <c r="B246" t="s">
        <v>226</v>
      </c>
      <c r="D246" t="s">
        <v>2467</v>
      </c>
      <c r="E246" t="s">
        <v>2468</v>
      </c>
      <c r="G246" t="s">
        <v>4438</v>
      </c>
      <c r="I246" t="s">
        <v>4439</v>
      </c>
      <c r="J246" t="s">
        <v>2471</v>
      </c>
      <c r="K246" t="s">
        <v>3642</v>
      </c>
      <c r="L246" s="2">
        <v>43474</v>
      </c>
      <c r="N246" t="s">
        <v>4012</v>
      </c>
      <c r="O246" t="s">
        <v>136</v>
      </c>
      <c r="P246" t="s">
        <v>864</v>
      </c>
      <c r="Q246" t="s">
        <v>4440</v>
      </c>
      <c r="R246" s="2">
        <v>43104</v>
      </c>
      <c r="S246" s="2">
        <v>43473</v>
      </c>
      <c r="T246" t="s">
        <v>4012</v>
      </c>
      <c r="U246" t="s">
        <v>136</v>
      </c>
      <c r="V246" s="2">
        <v>42159</v>
      </c>
      <c r="W246" s="2">
        <v>42422</v>
      </c>
      <c r="X246" t="s">
        <v>4103</v>
      </c>
    </row>
    <row r="247" spans="1:24" x14ac:dyDescent="0.2">
      <c r="A247" t="s">
        <v>4441</v>
      </c>
      <c r="B247" t="s">
        <v>226</v>
      </c>
      <c r="D247" t="s">
        <v>2810</v>
      </c>
      <c r="E247" t="s">
        <v>2811</v>
      </c>
      <c r="G247" t="s">
        <v>4442</v>
      </c>
      <c r="I247" t="s">
        <v>4443</v>
      </c>
      <c r="J247" t="s">
        <v>4444</v>
      </c>
      <c r="K247" t="s">
        <v>4445</v>
      </c>
      <c r="L247" s="2">
        <v>44563</v>
      </c>
      <c r="N247" t="s">
        <v>4012</v>
      </c>
      <c r="O247" t="s">
        <v>1947</v>
      </c>
      <c r="P247" t="s">
        <v>4444</v>
      </c>
      <c r="Q247" t="s">
        <v>4446</v>
      </c>
      <c r="R247" s="2">
        <v>42746</v>
      </c>
      <c r="S247" s="2">
        <v>44563</v>
      </c>
      <c r="T247" t="s">
        <v>4012</v>
      </c>
      <c r="U247" t="s">
        <v>1947</v>
      </c>
      <c r="V247" s="2">
        <v>33240</v>
      </c>
      <c r="W247" s="2">
        <v>34347</v>
      </c>
      <c r="X247" t="s">
        <v>51</v>
      </c>
    </row>
    <row r="248" spans="1:24" x14ac:dyDescent="0.2">
      <c r="A248" t="s">
        <v>4447</v>
      </c>
      <c r="B248" t="s">
        <v>226</v>
      </c>
      <c r="D248" t="s">
        <v>2902</v>
      </c>
      <c r="I248" t="s">
        <v>4331</v>
      </c>
      <c r="J248" t="s">
        <v>4448</v>
      </c>
      <c r="K248" t="s">
        <v>4449</v>
      </c>
      <c r="L248" s="2">
        <v>43101</v>
      </c>
      <c r="N248" t="s">
        <v>4012</v>
      </c>
      <c r="O248" t="s">
        <v>136</v>
      </c>
      <c r="V248" s="2">
        <v>36655</v>
      </c>
      <c r="W248" s="2">
        <v>38007</v>
      </c>
      <c r="X248" t="s">
        <v>51</v>
      </c>
    </row>
    <row r="249" spans="1:24" x14ac:dyDescent="0.2">
      <c r="A249" t="s">
        <v>4450</v>
      </c>
      <c r="B249" t="s">
        <v>226</v>
      </c>
      <c r="D249" t="s">
        <v>2926</v>
      </c>
      <c r="I249" t="s">
        <v>4451</v>
      </c>
      <c r="V249" s="2">
        <v>43626</v>
      </c>
      <c r="X249" t="s">
        <v>51</v>
      </c>
    </row>
    <row r="250" spans="1:24" x14ac:dyDescent="0.2">
      <c r="A250" t="s">
        <v>4452</v>
      </c>
      <c r="B250" t="s">
        <v>226</v>
      </c>
      <c r="D250" t="s">
        <v>2940</v>
      </c>
      <c r="E250" t="s">
        <v>2941</v>
      </c>
      <c r="G250" t="s">
        <v>4453</v>
      </c>
      <c r="I250" t="s">
        <v>2942</v>
      </c>
      <c r="J250" t="s">
        <v>4454</v>
      </c>
      <c r="K250" t="s">
        <v>4455</v>
      </c>
      <c r="N250" t="s">
        <v>4012</v>
      </c>
      <c r="O250" t="s">
        <v>106</v>
      </c>
      <c r="P250" t="s">
        <v>2944</v>
      </c>
      <c r="Q250" t="s">
        <v>756</v>
      </c>
      <c r="R250" s="2">
        <v>43472</v>
      </c>
      <c r="S250" s="2">
        <v>44929</v>
      </c>
      <c r="T250" t="s">
        <v>4456</v>
      </c>
      <c r="U250" t="s">
        <v>309</v>
      </c>
      <c r="V250" s="2">
        <v>32464</v>
      </c>
      <c r="W250" s="2">
        <v>34233</v>
      </c>
      <c r="X250" t="s">
        <v>453</v>
      </c>
    </row>
    <row r="251" spans="1:24" x14ac:dyDescent="0.2">
      <c r="A251" t="s">
        <v>4457</v>
      </c>
      <c r="B251" t="s">
        <v>226</v>
      </c>
      <c r="D251" t="s">
        <v>3253</v>
      </c>
      <c r="E251" t="s">
        <v>3254</v>
      </c>
      <c r="I251" t="s">
        <v>3255</v>
      </c>
      <c r="J251" t="s">
        <v>171</v>
      </c>
      <c r="K251" t="s">
        <v>4392</v>
      </c>
      <c r="L251" s="2">
        <v>43466</v>
      </c>
      <c r="N251" t="s">
        <v>4012</v>
      </c>
      <c r="O251" t="s">
        <v>67</v>
      </c>
      <c r="P251" t="s">
        <v>3257</v>
      </c>
      <c r="Q251" t="s">
        <v>4458</v>
      </c>
      <c r="R251" s="2">
        <v>42378</v>
      </c>
      <c r="S251" s="2">
        <v>44929</v>
      </c>
      <c r="T251" t="s">
        <v>4012</v>
      </c>
      <c r="U251" t="s">
        <v>641</v>
      </c>
      <c r="V251" s="2">
        <v>36280</v>
      </c>
      <c r="W251" s="2">
        <v>37313</v>
      </c>
      <c r="X251" t="s">
        <v>51</v>
      </c>
    </row>
    <row r="252" spans="1:24" x14ac:dyDescent="0.2">
      <c r="A252" t="s">
        <v>4459</v>
      </c>
      <c r="B252" t="s">
        <v>3479</v>
      </c>
      <c r="D252" t="s">
        <v>962</v>
      </c>
      <c r="E252" t="s">
        <v>964</v>
      </c>
      <c r="V252" s="2">
        <v>33240</v>
      </c>
      <c r="W252" s="2">
        <v>33602</v>
      </c>
      <c r="X252" t="s">
        <v>51</v>
      </c>
    </row>
    <row r="253" spans="1:24" x14ac:dyDescent="0.2">
      <c r="A253" t="s">
        <v>4460</v>
      </c>
      <c r="B253" t="s">
        <v>1444</v>
      </c>
      <c r="D253" t="s">
        <v>1443</v>
      </c>
      <c r="E253" t="s">
        <v>1445</v>
      </c>
      <c r="G253" t="s">
        <v>4461</v>
      </c>
      <c r="I253" t="s">
        <v>4462</v>
      </c>
      <c r="J253" t="s">
        <v>1447</v>
      </c>
      <c r="K253" t="s">
        <v>4463</v>
      </c>
      <c r="L253" s="2">
        <v>47119</v>
      </c>
      <c r="N253" t="s">
        <v>4012</v>
      </c>
      <c r="O253" t="s">
        <v>67</v>
      </c>
      <c r="V253" s="2">
        <v>38860</v>
      </c>
      <c r="W253" s="2">
        <v>39882</v>
      </c>
      <c r="X253" t="s">
        <v>453</v>
      </c>
    </row>
    <row r="254" spans="1:24" x14ac:dyDescent="0.2">
      <c r="A254" t="s">
        <v>4464</v>
      </c>
      <c r="B254" t="s">
        <v>1111</v>
      </c>
      <c r="D254" t="s">
        <v>1110</v>
      </c>
      <c r="E254" t="s">
        <v>4465</v>
      </c>
      <c r="G254" t="s">
        <v>4466</v>
      </c>
      <c r="I254" t="s">
        <v>1113</v>
      </c>
      <c r="J254" t="s">
        <v>4467</v>
      </c>
      <c r="K254" t="s">
        <v>4468</v>
      </c>
      <c r="L254" s="2">
        <v>44562</v>
      </c>
      <c r="N254" t="s">
        <v>4469</v>
      </c>
      <c r="O254" t="s">
        <v>309</v>
      </c>
      <c r="P254" t="s">
        <v>4467</v>
      </c>
      <c r="Q254" t="s">
        <v>4470</v>
      </c>
      <c r="R254" s="2">
        <v>43470</v>
      </c>
      <c r="S254" s="2">
        <v>43477</v>
      </c>
      <c r="T254" t="s">
        <v>4469</v>
      </c>
      <c r="U254" t="s">
        <v>174</v>
      </c>
      <c r="V254" s="2">
        <v>42023</v>
      </c>
      <c r="X254" t="s">
        <v>51</v>
      </c>
    </row>
    <row r="255" spans="1:24" x14ac:dyDescent="0.2">
      <c r="A255" t="s">
        <v>4471</v>
      </c>
      <c r="B255" t="s">
        <v>1111</v>
      </c>
      <c r="D255" t="s">
        <v>1437</v>
      </c>
      <c r="F255" t="s">
        <v>1438</v>
      </c>
      <c r="G255" t="s">
        <v>4472</v>
      </c>
      <c r="I255" t="s">
        <v>1440</v>
      </c>
      <c r="X255" t="s">
        <v>51</v>
      </c>
    </row>
    <row r="256" spans="1:24" x14ac:dyDescent="0.2">
      <c r="A256" t="s">
        <v>4473</v>
      </c>
      <c r="B256" t="s">
        <v>1111</v>
      </c>
      <c r="C256" t="s">
        <v>2235</v>
      </c>
      <c r="D256" t="s">
        <v>2525</v>
      </c>
      <c r="E256" t="s">
        <v>2526</v>
      </c>
      <c r="I256" t="s">
        <v>4474</v>
      </c>
      <c r="J256" t="s">
        <v>4475</v>
      </c>
      <c r="K256" t="s">
        <v>3704</v>
      </c>
      <c r="L256" s="2">
        <v>41642</v>
      </c>
      <c r="N256" t="s">
        <v>4476</v>
      </c>
      <c r="O256" t="s">
        <v>136</v>
      </c>
      <c r="P256" t="s">
        <v>424</v>
      </c>
      <c r="Q256" t="s">
        <v>4477</v>
      </c>
      <c r="R256" s="2">
        <v>42744</v>
      </c>
      <c r="S256" s="2">
        <v>44929</v>
      </c>
      <c r="T256" t="s">
        <v>4012</v>
      </c>
      <c r="U256" t="s">
        <v>106</v>
      </c>
      <c r="X256" t="s">
        <v>4103</v>
      </c>
    </row>
    <row r="257" spans="1:24" x14ac:dyDescent="0.2">
      <c r="A257" t="s">
        <v>4478</v>
      </c>
      <c r="B257" t="s">
        <v>1111</v>
      </c>
      <c r="D257" t="s">
        <v>3164</v>
      </c>
      <c r="E257" t="s">
        <v>3165</v>
      </c>
      <c r="G257" t="s">
        <v>4479</v>
      </c>
      <c r="I257" t="s">
        <v>3166</v>
      </c>
      <c r="J257" t="s">
        <v>1447</v>
      </c>
      <c r="K257" t="s">
        <v>64</v>
      </c>
      <c r="L257" s="2">
        <v>44205</v>
      </c>
      <c r="N257" t="s">
        <v>4012</v>
      </c>
      <c r="O257" t="s">
        <v>67</v>
      </c>
      <c r="P257" t="s">
        <v>4480</v>
      </c>
      <c r="Q257" t="s">
        <v>4321</v>
      </c>
      <c r="R257" s="2">
        <v>44929</v>
      </c>
      <c r="S257" s="2">
        <v>44199</v>
      </c>
      <c r="U257" t="s">
        <v>339</v>
      </c>
      <c r="V257" s="2">
        <v>38007</v>
      </c>
      <c r="X257" t="s">
        <v>51</v>
      </c>
    </row>
    <row r="258" spans="1:24" x14ac:dyDescent="0.2">
      <c r="A258" t="s">
        <v>4481</v>
      </c>
      <c r="B258" t="s">
        <v>1111</v>
      </c>
      <c r="D258" t="s">
        <v>3211</v>
      </c>
      <c r="E258" t="s">
        <v>3212</v>
      </c>
      <c r="G258" t="s">
        <v>4482</v>
      </c>
      <c r="I258" t="s">
        <v>3213</v>
      </c>
      <c r="J258" t="s">
        <v>244</v>
      </c>
      <c r="K258" t="s">
        <v>40</v>
      </c>
      <c r="L258" s="2">
        <v>43466</v>
      </c>
      <c r="N258" t="s">
        <v>4018</v>
      </c>
      <c r="O258" t="s">
        <v>214</v>
      </c>
      <c r="P258" t="s">
        <v>244</v>
      </c>
      <c r="Q258" t="s">
        <v>4483</v>
      </c>
      <c r="R258" s="2">
        <v>43106</v>
      </c>
      <c r="S258" s="2">
        <v>43112</v>
      </c>
      <c r="T258" t="s">
        <v>4018</v>
      </c>
      <c r="U258" t="s">
        <v>214</v>
      </c>
      <c r="V258" s="2">
        <v>42751</v>
      </c>
      <c r="W258" s="2">
        <v>42891</v>
      </c>
      <c r="X258" t="s">
        <v>51</v>
      </c>
    </row>
    <row r="259" spans="1:24" x14ac:dyDescent="0.2">
      <c r="A259" t="s">
        <v>4484</v>
      </c>
      <c r="B259" t="s">
        <v>420</v>
      </c>
      <c r="D259" t="s">
        <v>419</v>
      </c>
      <c r="E259" t="s">
        <v>4485</v>
      </c>
      <c r="G259" t="s">
        <v>4486</v>
      </c>
      <c r="I259" t="s">
        <v>3213</v>
      </c>
      <c r="J259" t="s">
        <v>4487</v>
      </c>
      <c r="K259" t="s">
        <v>4488</v>
      </c>
      <c r="L259" s="2">
        <v>43474</v>
      </c>
      <c r="N259" t="s">
        <v>4012</v>
      </c>
      <c r="O259" t="s">
        <v>309</v>
      </c>
      <c r="P259" t="s">
        <v>424</v>
      </c>
      <c r="Q259" t="s">
        <v>4489</v>
      </c>
      <c r="R259" s="2">
        <v>43466</v>
      </c>
      <c r="S259" s="2">
        <v>44562</v>
      </c>
      <c r="T259" t="s">
        <v>4012</v>
      </c>
      <c r="U259" t="s">
        <v>106</v>
      </c>
      <c r="V259" s="2">
        <v>41666</v>
      </c>
      <c r="W259" s="2">
        <v>42121</v>
      </c>
      <c r="X259" t="s">
        <v>4274</v>
      </c>
    </row>
    <row r="260" spans="1:24" x14ac:dyDescent="0.2">
      <c r="A260" t="s">
        <v>4490</v>
      </c>
      <c r="B260" t="s">
        <v>420</v>
      </c>
      <c r="D260" t="s">
        <v>682</v>
      </c>
      <c r="E260" t="s">
        <v>683</v>
      </c>
      <c r="G260" t="s">
        <v>4491</v>
      </c>
      <c r="I260" t="s">
        <v>4492</v>
      </c>
      <c r="J260" t="s">
        <v>4493</v>
      </c>
      <c r="K260" t="s">
        <v>4494</v>
      </c>
      <c r="L260" s="2">
        <v>42381</v>
      </c>
      <c r="N260" t="s">
        <v>4018</v>
      </c>
      <c r="O260" t="s">
        <v>641</v>
      </c>
      <c r="P260" t="s">
        <v>4493</v>
      </c>
      <c r="Q260" t="s">
        <v>4495</v>
      </c>
      <c r="R260" s="2">
        <v>41650</v>
      </c>
      <c r="S260" s="2">
        <v>42381</v>
      </c>
      <c r="T260" t="s">
        <v>4018</v>
      </c>
      <c r="U260" t="s">
        <v>641</v>
      </c>
      <c r="V260" s="2">
        <v>39882</v>
      </c>
      <c r="W260" s="2">
        <v>40330</v>
      </c>
      <c r="X260" t="s">
        <v>51</v>
      </c>
    </row>
    <row r="261" spans="1:24" x14ac:dyDescent="0.2">
      <c r="A261" t="s">
        <v>4496</v>
      </c>
      <c r="B261" t="s">
        <v>420</v>
      </c>
      <c r="D261" t="s">
        <v>775</v>
      </c>
      <c r="G261">
        <v>919987949665</v>
      </c>
      <c r="I261" t="s">
        <v>4497</v>
      </c>
      <c r="J261" t="s">
        <v>631</v>
      </c>
      <c r="K261" t="s">
        <v>51</v>
      </c>
      <c r="L261" s="2">
        <v>43470</v>
      </c>
      <c r="N261" t="s">
        <v>4498</v>
      </c>
      <c r="O261" t="s">
        <v>67</v>
      </c>
      <c r="P261" t="s">
        <v>4499</v>
      </c>
      <c r="Q261" t="s">
        <v>4500</v>
      </c>
      <c r="R261" s="2">
        <v>43101</v>
      </c>
      <c r="S261" s="2">
        <v>43466</v>
      </c>
      <c r="T261" t="s">
        <v>4018</v>
      </c>
      <c r="U261" t="s">
        <v>581</v>
      </c>
      <c r="V261" s="2">
        <v>42023</v>
      </c>
      <c r="W261" s="2">
        <v>42886</v>
      </c>
      <c r="X261" t="s">
        <v>453</v>
      </c>
    </row>
    <row r="262" spans="1:24" x14ac:dyDescent="0.2">
      <c r="A262" t="s">
        <v>4501</v>
      </c>
      <c r="B262" t="s">
        <v>420</v>
      </c>
      <c r="D262" t="s">
        <v>827</v>
      </c>
      <c r="E262" t="s">
        <v>829</v>
      </c>
      <c r="G262" t="s">
        <v>4502</v>
      </c>
      <c r="I262" t="s">
        <v>4503</v>
      </c>
      <c r="J262" t="s">
        <v>657</v>
      </c>
      <c r="K262" t="s">
        <v>40</v>
      </c>
      <c r="L262" s="2">
        <v>43106</v>
      </c>
      <c r="O262" t="s">
        <v>156</v>
      </c>
      <c r="V262" s="2">
        <v>42751</v>
      </c>
      <c r="W262" s="2">
        <v>43367</v>
      </c>
      <c r="X262" t="s">
        <v>68</v>
      </c>
    </row>
    <row r="263" spans="1:24" x14ac:dyDescent="0.2">
      <c r="A263" t="s">
        <v>4504</v>
      </c>
      <c r="B263" t="s">
        <v>420</v>
      </c>
      <c r="D263" t="s">
        <v>1217</v>
      </c>
      <c r="E263" t="s">
        <v>1218</v>
      </c>
      <c r="G263" t="s">
        <v>4505</v>
      </c>
      <c r="I263" t="s">
        <v>1219</v>
      </c>
      <c r="J263" t="s">
        <v>611</v>
      </c>
      <c r="K263" t="s">
        <v>3476</v>
      </c>
      <c r="L263" s="2">
        <v>43471</v>
      </c>
      <c r="N263" t="s">
        <v>3460</v>
      </c>
      <c r="O263" t="s">
        <v>156</v>
      </c>
      <c r="V263" s="2">
        <v>42159</v>
      </c>
      <c r="W263" s="2">
        <v>43591</v>
      </c>
      <c r="X263" t="s">
        <v>453</v>
      </c>
    </row>
    <row r="264" spans="1:24" x14ac:dyDescent="0.2">
      <c r="A264" t="s">
        <v>4506</v>
      </c>
      <c r="B264" t="s">
        <v>420</v>
      </c>
      <c r="D264" t="s">
        <v>1337</v>
      </c>
      <c r="E264" t="s">
        <v>1338</v>
      </c>
      <c r="I264" t="s">
        <v>1339</v>
      </c>
      <c r="J264" t="s">
        <v>4507</v>
      </c>
      <c r="K264" t="s">
        <v>4148</v>
      </c>
      <c r="L264" s="2">
        <v>42013</v>
      </c>
      <c r="N264" t="s">
        <v>4262</v>
      </c>
      <c r="O264" t="s">
        <v>67</v>
      </c>
      <c r="P264" t="s">
        <v>1341</v>
      </c>
      <c r="Q264" t="s">
        <v>4508</v>
      </c>
      <c r="R264" s="2">
        <v>42010</v>
      </c>
      <c r="S264" s="2">
        <v>44929</v>
      </c>
      <c r="T264" t="s">
        <v>4012</v>
      </c>
      <c r="U264" t="s">
        <v>641</v>
      </c>
      <c r="V264" s="2">
        <v>33419</v>
      </c>
      <c r="W264" s="2">
        <v>34233</v>
      </c>
      <c r="X264" t="s">
        <v>51</v>
      </c>
    </row>
    <row r="265" spans="1:24" x14ac:dyDescent="0.2">
      <c r="A265" t="s">
        <v>4509</v>
      </c>
      <c r="B265" t="s">
        <v>420</v>
      </c>
      <c r="D265" t="s">
        <v>1494</v>
      </c>
      <c r="E265" t="s">
        <v>1496</v>
      </c>
      <c r="I265" t="s">
        <v>4510</v>
      </c>
      <c r="J265" t="s">
        <v>532</v>
      </c>
      <c r="K265" t="s">
        <v>4511</v>
      </c>
      <c r="L265" s="2">
        <v>43466</v>
      </c>
      <c r="N265" t="s">
        <v>4012</v>
      </c>
      <c r="O265" t="s">
        <v>156</v>
      </c>
      <c r="P265" t="s">
        <v>1499</v>
      </c>
      <c r="Q265" t="s">
        <v>4512</v>
      </c>
      <c r="R265" s="2">
        <v>43109</v>
      </c>
      <c r="S265" s="2">
        <v>43112</v>
      </c>
      <c r="T265" t="s">
        <v>4456</v>
      </c>
      <c r="U265" t="s">
        <v>136</v>
      </c>
      <c r="V265" s="2">
        <v>42513</v>
      </c>
      <c r="W265" s="2">
        <v>43472</v>
      </c>
      <c r="X265" t="s">
        <v>157</v>
      </c>
    </row>
    <row r="266" spans="1:24" x14ac:dyDescent="0.2">
      <c r="A266" t="s">
        <v>4513</v>
      </c>
      <c r="B266" t="s">
        <v>420</v>
      </c>
      <c r="D266" t="s">
        <v>2361</v>
      </c>
      <c r="E266" t="s">
        <v>2362</v>
      </c>
      <c r="G266" t="s">
        <v>4514</v>
      </c>
      <c r="I266" t="s">
        <v>2363</v>
      </c>
      <c r="J266" t="s">
        <v>2365</v>
      </c>
      <c r="K266" t="s">
        <v>4515</v>
      </c>
      <c r="L266" s="2">
        <v>43474</v>
      </c>
      <c r="N266" t="s">
        <v>4012</v>
      </c>
      <c r="O266" t="s">
        <v>1061</v>
      </c>
      <c r="P266" t="s">
        <v>4516</v>
      </c>
      <c r="Q266" t="s">
        <v>4517</v>
      </c>
      <c r="R266" s="2">
        <v>40912</v>
      </c>
      <c r="S266" s="2">
        <v>43474</v>
      </c>
      <c r="T266" t="s">
        <v>4341</v>
      </c>
      <c r="U266" t="s">
        <v>1061</v>
      </c>
      <c r="V266" s="2">
        <v>36280</v>
      </c>
      <c r="W266" s="2">
        <v>36584</v>
      </c>
      <c r="X266" t="s">
        <v>51</v>
      </c>
    </row>
    <row r="267" spans="1:24" x14ac:dyDescent="0.2">
      <c r="A267" t="s">
        <v>4518</v>
      </c>
      <c r="B267" t="s">
        <v>420</v>
      </c>
      <c r="D267" t="s">
        <v>2628</v>
      </c>
      <c r="E267" t="s">
        <v>2629</v>
      </c>
      <c r="G267" t="s">
        <v>4519</v>
      </c>
      <c r="I267" t="s">
        <v>2630</v>
      </c>
      <c r="J267" t="s">
        <v>4520</v>
      </c>
      <c r="K267" t="s">
        <v>3589</v>
      </c>
      <c r="L267" s="2">
        <v>42736</v>
      </c>
      <c r="O267" t="s">
        <v>339</v>
      </c>
      <c r="P267" t="s">
        <v>2632</v>
      </c>
      <c r="Q267" t="s">
        <v>4521</v>
      </c>
      <c r="R267" s="2">
        <v>40552</v>
      </c>
      <c r="S267" s="2">
        <v>44929</v>
      </c>
      <c r="U267" t="s">
        <v>357</v>
      </c>
      <c r="V267" s="2">
        <v>39238</v>
      </c>
      <c r="W267" s="2">
        <v>40330</v>
      </c>
      <c r="X267" t="s">
        <v>51</v>
      </c>
    </row>
    <row r="268" spans="1:24" x14ac:dyDescent="0.2">
      <c r="A268" t="s">
        <v>4522</v>
      </c>
      <c r="B268" t="s">
        <v>420</v>
      </c>
      <c r="D268" t="s">
        <v>2822</v>
      </c>
      <c r="E268" t="s">
        <v>2823</v>
      </c>
      <c r="I268" t="s">
        <v>4523</v>
      </c>
      <c r="V268" s="2">
        <v>43626</v>
      </c>
      <c r="W268" s="2">
        <v>44627</v>
      </c>
      <c r="X268" t="s">
        <v>51</v>
      </c>
    </row>
    <row r="269" spans="1:24" x14ac:dyDescent="0.2">
      <c r="A269" t="s">
        <v>4524</v>
      </c>
      <c r="B269" t="s">
        <v>420</v>
      </c>
      <c r="D269" t="s">
        <v>2951</v>
      </c>
      <c r="E269" t="s">
        <v>2952</v>
      </c>
      <c r="I269" t="s">
        <v>4525</v>
      </c>
      <c r="J269" t="s">
        <v>1516</v>
      </c>
      <c r="K269" t="s">
        <v>4526</v>
      </c>
      <c r="L269" s="2">
        <v>43109</v>
      </c>
      <c r="N269" t="s">
        <v>4012</v>
      </c>
      <c r="O269" t="s">
        <v>256</v>
      </c>
      <c r="P269" t="s">
        <v>1705</v>
      </c>
      <c r="Q269" t="s">
        <v>4527</v>
      </c>
      <c r="R269" s="2">
        <v>43101</v>
      </c>
      <c r="S269" s="2">
        <v>43109</v>
      </c>
      <c r="T269" t="s">
        <v>4012</v>
      </c>
      <c r="U269" t="s">
        <v>256</v>
      </c>
      <c r="V269" s="2">
        <v>41666</v>
      </c>
      <c r="X269" t="s">
        <v>51</v>
      </c>
    </row>
    <row r="270" spans="1:24" x14ac:dyDescent="0.2">
      <c r="A270" t="s">
        <v>4528</v>
      </c>
      <c r="B270" t="s">
        <v>3384</v>
      </c>
      <c r="D270" t="s">
        <v>3383</v>
      </c>
      <c r="E270" t="s">
        <v>3385</v>
      </c>
      <c r="I270" t="s">
        <v>3386</v>
      </c>
      <c r="J270" t="s">
        <v>3387</v>
      </c>
      <c r="K270" t="s">
        <v>3589</v>
      </c>
      <c r="L270" s="2">
        <v>43111</v>
      </c>
      <c r="N270" t="s">
        <v>4529</v>
      </c>
      <c r="O270" t="s">
        <v>980</v>
      </c>
      <c r="P270" t="s">
        <v>163</v>
      </c>
      <c r="Q270" t="s">
        <v>4483</v>
      </c>
      <c r="R270" s="2">
        <v>43101</v>
      </c>
      <c r="S270" s="2">
        <v>43111</v>
      </c>
      <c r="T270" t="s">
        <v>4012</v>
      </c>
      <c r="U270" t="s">
        <v>67</v>
      </c>
      <c r="V270" s="2">
        <v>42023</v>
      </c>
      <c r="W270" s="2">
        <v>42184</v>
      </c>
      <c r="X270" t="s">
        <v>51</v>
      </c>
    </row>
    <row r="271" spans="1:24" x14ac:dyDescent="0.2">
      <c r="A271" t="s">
        <v>4530</v>
      </c>
      <c r="B271" t="s">
        <v>2424</v>
      </c>
      <c r="D271" t="s">
        <v>2423</v>
      </c>
      <c r="I271" t="s">
        <v>4531</v>
      </c>
      <c r="J271" t="s">
        <v>263</v>
      </c>
      <c r="K271" t="s">
        <v>40</v>
      </c>
      <c r="L271" s="2">
        <v>43471</v>
      </c>
      <c r="N271" t="s">
        <v>4012</v>
      </c>
      <c r="O271" t="s">
        <v>67</v>
      </c>
      <c r="V271" s="2">
        <v>43115</v>
      </c>
      <c r="W271" s="2">
        <v>43622</v>
      </c>
      <c r="X271" t="s">
        <v>51</v>
      </c>
    </row>
    <row r="272" spans="1:24" x14ac:dyDescent="0.2">
      <c r="A272" t="s">
        <v>4532</v>
      </c>
      <c r="B272" t="s">
        <v>986</v>
      </c>
      <c r="D272" t="s">
        <v>985</v>
      </c>
      <c r="E272" t="s">
        <v>987</v>
      </c>
      <c r="I272" t="s">
        <v>988</v>
      </c>
      <c r="J272" t="s">
        <v>989</v>
      </c>
      <c r="K272" t="s">
        <v>4533</v>
      </c>
      <c r="L272" s="2">
        <v>40910</v>
      </c>
      <c r="O272" t="s">
        <v>44</v>
      </c>
      <c r="P272" t="s">
        <v>990</v>
      </c>
      <c r="Q272" t="s">
        <v>3493</v>
      </c>
      <c r="R272" s="2">
        <v>44203</v>
      </c>
      <c r="S272" s="2">
        <v>40910</v>
      </c>
      <c r="U272" t="s">
        <v>214</v>
      </c>
      <c r="V272" s="2">
        <v>34236</v>
      </c>
      <c r="W272" s="2">
        <v>34824</v>
      </c>
      <c r="X272" t="s">
        <v>51</v>
      </c>
    </row>
    <row r="273" spans="1:24" x14ac:dyDescent="0.2">
      <c r="A273" t="s">
        <v>4534</v>
      </c>
      <c r="B273" t="s">
        <v>148</v>
      </c>
      <c r="D273" t="s">
        <v>147</v>
      </c>
      <c r="E273" t="s">
        <v>149</v>
      </c>
      <c r="I273" t="s">
        <v>3420</v>
      </c>
      <c r="J273" t="s">
        <v>4130</v>
      </c>
      <c r="K273" t="s">
        <v>153</v>
      </c>
      <c r="L273" s="2">
        <v>42371</v>
      </c>
      <c r="N273" t="s">
        <v>4012</v>
      </c>
      <c r="O273" t="s">
        <v>156</v>
      </c>
      <c r="P273" t="s">
        <v>4130</v>
      </c>
      <c r="Q273" t="s">
        <v>157</v>
      </c>
      <c r="R273" s="2">
        <v>41275</v>
      </c>
      <c r="S273" s="2">
        <v>42370</v>
      </c>
      <c r="T273" t="s">
        <v>4012</v>
      </c>
      <c r="U273" t="s">
        <v>156</v>
      </c>
      <c r="V273" s="2">
        <v>37387</v>
      </c>
      <c r="W273" s="2">
        <v>38159</v>
      </c>
      <c r="X273" t="s">
        <v>51</v>
      </c>
    </row>
    <row r="274" spans="1:24" x14ac:dyDescent="0.2">
      <c r="A274" t="s">
        <v>4535</v>
      </c>
      <c r="B274" t="s">
        <v>148</v>
      </c>
      <c r="D274" t="s">
        <v>2244</v>
      </c>
      <c r="E274" t="s">
        <v>2245</v>
      </c>
      <c r="I274" t="s">
        <v>2246</v>
      </c>
      <c r="J274" t="s">
        <v>4536</v>
      </c>
      <c r="K274" t="s">
        <v>4537</v>
      </c>
      <c r="L274" s="2">
        <v>43476</v>
      </c>
      <c r="N274" t="s">
        <v>639</v>
      </c>
      <c r="O274" t="s">
        <v>2249</v>
      </c>
      <c r="P274" t="s">
        <v>2248</v>
      </c>
      <c r="Q274" t="s">
        <v>4180</v>
      </c>
      <c r="R274" s="2">
        <v>42005</v>
      </c>
      <c r="S274" s="2">
        <v>43476</v>
      </c>
      <c r="T274" t="s">
        <v>2299</v>
      </c>
      <c r="U274" t="s">
        <v>2249</v>
      </c>
      <c r="V274" s="2">
        <v>38356</v>
      </c>
      <c r="W274" s="2">
        <v>38860</v>
      </c>
      <c r="X274" t="s">
        <v>51</v>
      </c>
    </row>
    <row r="275" spans="1:24" x14ac:dyDescent="0.2">
      <c r="A275" t="s">
        <v>4538</v>
      </c>
      <c r="B275" t="s">
        <v>1142</v>
      </c>
      <c r="D275" t="s">
        <v>1141</v>
      </c>
      <c r="E275" t="s">
        <v>1143</v>
      </c>
      <c r="G275" t="s">
        <v>4539</v>
      </c>
      <c r="I275" t="s">
        <v>1144</v>
      </c>
      <c r="J275" t="s">
        <v>4540</v>
      </c>
      <c r="K275" t="s">
        <v>4541</v>
      </c>
      <c r="L275" s="2">
        <v>41648</v>
      </c>
      <c r="N275" t="s">
        <v>4012</v>
      </c>
      <c r="O275" t="s">
        <v>4272</v>
      </c>
      <c r="P275" t="s">
        <v>1146</v>
      </c>
      <c r="Q275" t="s">
        <v>4542</v>
      </c>
      <c r="R275" s="2">
        <v>40909</v>
      </c>
      <c r="S275" s="2">
        <v>41648</v>
      </c>
      <c r="U275" t="s">
        <v>309</v>
      </c>
      <c r="V275" s="2">
        <v>36655</v>
      </c>
      <c r="W275" s="2">
        <v>37313</v>
      </c>
      <c r="X275" t="s">
        <v>51</v>
      </c>
    </row>
    <row r="276" spans="1:24" x14ac:dyDescent="0.2">
      <c r="A276" t="s">
        <v>4543</v>
      </c>
      <c r="B276" t="s">
        <v>1854</v>
      </c>
      <c r="D276" t="s">
        <v>1853</v>
      </c>
      <c r="E276" t="s">
        <v>1855</v>
      </c>
      <c r="F276" t="s">
        <v>4544</v>
      </c>
      <c r="G276" t="s">
        <v>4545</v>
      </c>
      <c r="I276" t="s">
        <v>1857</v>
      </c>
      <c r="V276" s="2">
        <v>43255</v>
      </c>
      <c r="W276" s="2">
        <v>44347</v>
      </c>
      <c r="X276" t="s">
        <v>51</v>
      </c>
    </row>
    <row r="277" spans="1:24" x14ac:dyDescent="0.2">
      <c r="A277" t="s">
        <v>4546</v>
      </c>
      <c r="B277" t="s">
        <v>1854</v>
      </c>
      <c r="D277" t="s">
        <v>3295</v>
      </c>
      <c r="E277" t="s">
        <v>4547</v>
      </c>
      <c r="G277" t="s">
        <v>4548</v>
      </c>
      <c r="I277" t="s">
        <v>3297</v>
      </c>
      <c r="J277" t="s">
        <v>4549</v>
      </c>
      <c r="K277" t="s">
        <v>4382</v>
      </c>
      <c r="L277" s="2">
        <v>47119</v>
      </c>
      <c r="N277" t="s">
        <v>4012</v>
      </c>
      <c r="O277" t="s">
        <v>214</v>
      </c>
      <c r="P277" t="s">
        <v>3299</v>
      </c>
      <c r="Q277" t="s">
        <v>4550</v>
      </c>
      <c r="R277" s="2">
        <v>44927</v>
      </c>
      <c r="S277" s="2">
        <v>41641</v>
      </c>
      <c r="U277" t="s">
        <v>873</v>
      </c>
      <c r="V277" s="2">
        <v>36655</v>
      </c>
      <c r="W277" t="s">
        <v>4231</v>
      </c>
      <c r="X277" t="s">
        <v>51</v>
      </c>
    </row>
    <row r="278" spans="1:24" x14ac:dyDescent="0.2">
      <c r="A278" t="s">
        <v>4551</v>
      </c>
      <c r="B278" t="s">
        <v>81</v>
      </c>
      <c r="D278" t="s">
        <v>80</v>
      </c>
      <c r="E278" t="s">
        <v>83</v>
      </c>
      <c r="G278" t="s">
        <v>4552</v>
      </c>
      <c r="I278" t="s">
        <v>84</v>
      </c>
      <c r="J278" t="s">
        <v>4553</v>
      </c>
      <c r="K278" t="s">
        <v>4554</v>
      </c>
      <c r="L278" s="2">
        <v>44562</v>
      </c>
      <c r="N278" t="s">
        <v>4555</v>
      </c>
      <c r="O278" t="s">
        <v>91</v>
      </c>
      <c r="P278" t="s">
        <v>88</v>
      </c>
      <c r="Q278" t="s">
        <v>4556</v>
      </c>
      <c r="R278" s="2">
        <v>42012</v>
      </c>
      <c r="S278" s="2">
        <v>44562</v>
      </c>
      <c r="U278" t="s">
        <v>91</v>
      </c>
      <c r="V278" s="2">
        <v>37642</v>
      </c>
      <c r="W278" s="2">
        <v>38007</v>
      </c>
      <c r="X278" t="s">
        <v>51</v>
      </c>
    </row>
    <row r="279" spans="1:24" x14ac:dyDescent="0.2">
      <c r="A279" t="s">
        <v>4557</v>
      </c>
      <c r="B279" t="s">
        <v>1511</v>
      </c>
      <c r="D279" t="s">
        <v>1510</v>
      </c>
      <c r="E279" t="s">
        <v>1512</v>
      </c>
      <c r="G279" t="s">
        <v>4558</v>
      </c>
      <c r="I279" t="s">
        <v>1513</v>
      </c>
      <c r="J279" t="s">
        <v>1516</v>
      </c>
      <c r="K279" t="s">
        <v>4559</v>
      </c>
      <c r="L279" s="2">
        <v>43108</v>
      </c>
      <c r="N279" t="s">
        <v>4560</v>
      </c>
      <c r="O279" t="s">
        <v>46</v>
      </c>
      <c r="P279" t="s">
        <v>1516</v>
      </c>
      <c r="Q279" t="s">
        <v>4561</v>
      </c>
      <c r="R279" s="2">
        <v>41275</v>
      </c>
      <c r="S279" s="2">
        <v>42005</v>
      </c>
      <c r="T279" t="s">
        <v>4562</v>
      </c>
      <c r="U279" t="s">
        <v>1518</v>
      </c>
      <c r="V279" s="2">
        <v>38538</v>
      </c>
      <c r="W279" s="2">
        <v>39882</v>
      </c>
      <c r="X279" t="s">
        <v>68</v>
      </c>
    </row>
    <row r="280" spans="1:24" x14ac:dyDescent="0.2">
      <c r="A280" t="s">
        <v>4563</v>
      </c>
      <c r="B280" t="s">
        <v>1361</v>
      </c>
      <c r="D280" t="s">
        <v>1360</v>
      </c>
      <c r="I280" t="s">
        <v>4564</v>
      </c>
      <c r="J280" t="s">
        <v>4565</v>
      </c>
      <c r="K280" t="s">
        <v>4566</v>
      </c>
      <c r="L280" s="2">
        <v>43467</v>
      </c>
      <c r="N280" t="s">
        <v>4012</v>
      </c>
      <c r="O280" t="s">
        <v>309</v>
      </c>
      <c r="P280" t="s">
        <v>4567</v>
      </c>
      <c r="Q280" t="s">
        <v>4568</v>
      </c>
      <c r="R280" s="2">
        <v>43468</v>
      </c>
      <c r="S280" s="2">
        <v>43471</v>
      </c>
      <c r="T280" t="s">
        <v>4569</v>
      </c>
      <c r="U280" t="s">
        <v>106</v>
      </c>
      <c r="V280" s="2">
        <v>42751</v>
      </c>
      <c r="W280" s="2">
        <v>43731</v>
      </c>
      <c r="X280" t="s">
        <v>69</v>
      </c>
    </row>
    <row r="281" spans="1:24" x14ac:dyDescent="0.2">
      <c r="A281" t="s">
        <v>4570</v>
      </c>
      <c r="B281" t="s">
        <v>1361</v>
      </c>
      <c r="D281" t="s">
        <v>2753</v>
      </c>
      <c r="E281" t="s">
        <v>2754</v>
      </c>
      <c r="I281" t="s">
        <v>2755</v>
      </c>
      <c r="X281" t="s">
        <v>51</v>
      </c>
    </row>
    <row r="282" spans="1:24" x14ac:dyDescent="0.2">
      <c r="A282" t="s">
        <v>3887</v>
      </c>
      <c r="B282" t="s">
        <v>732</v>
      </c>
      <c r="D282" t="s">
        <v>731</v>
      </c>
      <c r="E282" t="s">
        <v>109</v>
      </c>
      <c r="I282" t="s">
        <v>3888</v>
      </c>
      <c r="J282" t="s">
        <v>3889</v>
      </c>
      <c r="K282" t="s">
        <v>3890</v>
      </c>
      <c r="L282" s="2">
        <v>41275</v>
      </c>
      <c r="N282" t="s">
        <v>4571</v>
      </c>
      <c r="O282" t="s">
        <v>980</v>
      </c>
      <c r="P282" t="s">
        <v>3891</v>
      </c>
      <c r="Q282" t="s">
        <v>4572</v>
      </c>
      <c r="R282" s="2">
        <v>40917</v>
      </c>
      <c r="S282" s="2">
        <v>40920</v>
      </c>
      <c r="T282" t="s">
        <v>4012</v>
      </c>
      <c r="U282" t="s">
        <v>357</v>
      </c>
      <c r="V282" s="2">
        <v>40190</v>
      </c>
      <c r="W282" s="2">
        <v>40288</v>
      </c>
      <c r="X282" t="s">
        <v>51</v>
      </c>
    </row>
    <row r="283" spans="1:24" x14ac:dyDescent="0.2">
      <c r="A283" t="s">
        <v>4573</v>
      </c>
      <c r="B283" t="s">
        <v>732</v>
      </c>
      <c r="D283" t="s">
        <v>1740</v>
      </c>
      <c r="E283" t="s">
        <v>4574</v>
      </c>
      <c r="G283" t="s">
        <v>4575</v>
      </c>
      <c r="H283" t="s">
        <v>4576</v>
      </c>
      <c r="I283" t="s">
        <v>1742</v>
      </c>
      <c r="J283" t="s">
        <v>795</v>
      </c>
      <c r="K283" t="s">
        <v>4577</v>
      </c>
      <c r="L283" s="2">
        <v>41283</v>
      </c>
      <c r="N283" t="s">
        <v>4012</v>
      </c>
      <c r="O283" t="s">
        <v>67</v>
      </c>
      <c r="P283" t="s">
        <v>795</v>
      </c>
      <c r="Q283" t="s">
        <v>4578</v>
      </c>
      <c r="R283" s="2">
        <v>40915</v>
      </c>
      <c r="S283" s="2">
        <v>41283</v>
      </c>
      <c r="T283" t="s">
        <v>4012</v>
      </c>
      <c r="U283" t="s">
        <v>136</v>
      </c>
      <c r="V283" s="2">
        <v>38732</v>
      </c>
      <c r="W283" s="2">
        <v>39155</v>
      </c>
      <c r="X283" t="s">
        <v>51</v>
      </c>
    </row>
    <row r="284" spans="1:24" x14ac:dyDescent="0.2">
      <c r="A284" t="s">
        <v>4579</v>
      </c>
      <c r="B284" t="s">
        <v>732</v>
      </c>
      <c r="D284" t="s">
        <v>2608</v>
      </c>
      <c r="I284" t="s">
        <v>4580</v>
      </c>
      <c r="J284" t="s">
        <v>171</v>
      </c>
      <c r="K284" t="s">
        <v>3901</v>
      </c>
      <c r="L284" s="2">
        <v>42381</v>
      </c>
      <c r="O284" t="s">
        <v>67</v>
      </c>
      <c r="P284" t="s">
        <v>263</v>
      </c>
      <c r="Q284" t="s">
        <v>4581</v>
      </c>
      <c r="R284" s="2">
        <v>42371</v>
      </c>
      <c r="S284" s="2">
        <v>42374</v>
      </c>
      <c r="T284" t="s">
        <v>4012</v>
      </c>
      <c r="U284" t="s">
        <v>67</v>
      </c>
      <c r="V284" s="2">
        <v>33240</v>
      </c>
      <c r="W284" s="2">
        <v>34233</v>
      </c>
      <c r="X284" t="s">
        <v>51</v>
      </c>
    </row>
    <row r="285" spans="1:24" x14ac:dyDescent="0.2">
      <c r="A285" t="s">
        <v>4582</v>
      </c>
      <c r="B285" t="s">
        <v>1120</v>
      </c>
      <c r="D285" t="s">
        <v>1119</v>
      </c>
      <c r="E285" t="s">
        <v>1121</v>
      </c>
      <c r="G285" t="s">
        <v>4583</v>
      </c>
      <c r="I285" t="s">
        <v>3429</v>
      </c>
      <c r="J285" t="s">
        <v>1124</v>
      </c>
      <c r="K285" t="s">
        <v>153</v>
      </c>
      <c r="L285" s="2">
        <v>42370</v>
      </c>
      <c r="N285" t="s">
        <v>4012</v>
      </c>
      <c r="O285" t="s">
        <v>873</v>
      </c>
      <c r="P285" t="s">
        <v>1124</v>
      </c>
      <c r="Q285" t="s">
        <v>4584</v>
      </c>
      <c r="R285" s="2">
        <v>41643</v>
      </c>
      <c r="S285" s="2">
        <v>42016</v>
      </c>
      <c r="T285" t="s">
        <v>4012</v>
      </c>
      <c r="U285" t="s">
        <v>873</v>
      </c>
      <c r="V285" s="2">
        <v>37797</v>
      </c>
      <c r="W285" s="2">
        <v>38007</v>
      </c>
      <c r="X285" t="s">
        <v>51</v>
      </c>
    </row>
    <row r="286" spans="1:24" x14ac:dyDescent="0.2">
      <c r="A286" t="s">
        <v>4585</v>
      </c>
      <c r="B286" t="s">
        <v>832</v>
      </c>
      <c r="D286" t="s">
        <v>831</v>
      </c>
      <c r="E286" t="s">
        <v>833</v>
      </c>
      <c r="F286" t="s">
        <v>4586</v>
      </c>
      <c r="I286" t="s">
        <v>835</v>
      </c>
      <c r="V286" s="2">
        <v>43255</v>
      </c>
      <c r="W286" s="2">
        <v>44347</v>
      </c>
      <c r="X286" t="s">
        <v>51</v>
      </c>
    </row>
    <row r="287" spans="1:24" x14ac:dyDescent="0.2">
      <c r="A287" t="s">
        <v>4587</v>
      </c>
      <c r="B287" t="s">
        <v>832</v>
      </c>
      <c r="D287" t="s">
        <v>2173</v>
      </c>
      <c r="E287" t="s">
        <v>2174</v>
      </c>
      <c r="I287" t="s">
        <v>2175</v>
      </c>
      <c r="J287" t="s">
        <v>75</v>
      </c>
      <c r="K287" t="s">
        <v>4588</v>
      </c>
      <c r="L287" s="2">
        <v>43466</v>
      </c>
      <c r="N287" t="s">
        <v>4012</v>
      </c>
      <c r="O287" t="s">
        <v>388</v>
      </c>
      <c r="P287" t="s">
        <v>75</v>
      </c>
      <c r="Q287" t="s">
        <v>4171</v>
      </c>
      <c r="R287" s="2">
        <v>42380</v>
      </c>
      <c r="S287" s="2">
        <v>44929</v>
      </c>
      <c r="T287" t="s">
        <v>4012</v>
      </c>
      <c r="U287" t="s">
        <v>388</v>
      </c>
      <c r="V287" s="2">
        <v>39834</v>
      </c>
      <c r="W287" s="2">
        <v>40330</v>
      </c>
      <c r="X287" t="s">
        <v>51</v>
      </c>
    </row>
    <row r="288" spans="1:24" x14ac:dyDescent="0.2">
      <c r="A288" t="s">
        <v>4589</v>
      </c>
      <c r="B288" t="s">
        <v>832</v>
      </c>
      <c r="D288" t="s">
        <v>2216</v>
      </c>
      <c r="E288" t="s">
        <v>2217</v>
      </c>
      <c r="F288" t="s">
        <v>4590</v>
      </c>
      <c r="G288" t="s">
        <v>4591</v>
      </c>
      <c r="I288" t="s">
        <v>4592</v>
      </c>
      <c r="V288" s="2">
        <v>43843</v>
      </c>
      <c r="X288" t="s">
        <v>51</v>
      </c>
    </row>
    <row r="289" spans="1:24" x14ac:dyDescent="0.2">
      <c r="A289" t="s">
        <v>4593</v>
      </c>
      <c r="B289" t="s">
        <v>832</v>
      </c>
      <c r="D289" t="s">
        <v>2677</v>
      </c>
      <c r="E289" t="s">
        <v>2678</v>
      </c>
      <c r="G289" t="s">
        <v>4594</v>
      </c>
      <c r="I289" t="s">
        <v>2679</v>
      </c>
      <c r="J289" t="s">
        <v>2680</v>
      </c>
      <c r="K289" t="s">
        <v>4595</v>
      </c>
      <c r="L289" s="2">
        <v>42376</v>
      </c>
      <c r="N289" t="s">
        <v>4262</v>
      </c>
      <c r="O289" t="s">
        <v>602</v>
      </c>
      <c r="P289" t="s">
        <v>2681</v>
      </c>
      <c r="Q289" t="s">
        <v>4596</v>
      </c>
      <c r="R289" s="2">
        <v>41640</v>
      </c>
      <c r="S289" s="2">
        <v>44929</v>
      </c>
      <c r="T289" t="s">
        <v>4012</v>
      </c>
      <c r="U289" t="s">
        <v>106</v>
      </c>
      <c r="V289" s="2">
        <v>34431</v>
      </c>
      <c r="W289" s="2">
        <v>34633</v>
      </c>
      <c r="X289" t="s">
        <v>51</v>
      </c>
    </row>
    <row r="290" spans="1:24" x14ac:dyDescent="0.2">
      <c r="A290" t="s">
        <v>4597</v>
      </c>
      <c r="B290" t="s">
        <v>832</v>
      </c>
      <c r="D290" t="s">
        <v>2687</v>
      </c>
      <c r="E290" t="s">
        <v>2688</v>
      </c>
      <c r="G290" t="s">
        <v>4598</v>
      </c>
      <c r="I290" t="s">
        <v>2689</v>
      </c>
      <c r="J290" t="s">
        <v>163</v>
      </c>
      <c r="K290" t="s">
        <v>3461</v>
      </c>
      <c r="L290" s="2">
        <v>43470</v>
      </c>
      <c r="N290" t="s">
        <v>4012</v>
      </c>
      <c r="O290" t="s">
        <v>67</v>
      </c>
      <c r="P290" t="s">
        <v>837</v>
      </c>
      <c r="Q290" t="s">
        <v>4599</v>
      </c>
      <c r="R290" s="2">
        <v>43106</v>
      </c>
      <c r="S290" s="2">
        <v>43101</v>
      </c>
      <c r="T290" t="s">
        <v>4469</v>
      </c>
      <c r="U290" t="s">
        <v>309</v>
      </c>
      <c r="V290" s="2">
        <v>42751</v>
      </c>
      <c r="W290" s="2">
        <v>43152</v>
      </c>
      <c r="X290" t="s">
        <v>51</v>
      </c>
    </row>
    <row r="291" spans="1:24" x14ac:dyDescent="0.2">
      <c r="A291" t="s">
        <v>4600</v>
      </c>
      <c r="B291" t="s">
        <v>832</v>
      </c>
      <c r="D291" t="s">
        <v>2764</v>
      </c>
      <c r="E291" t="s">
        <v>2765</v>
      </c>
      <c r="G291" t="s">
        <v>4601</v>
      </c>
      <c r="I291" t="s">
        <v>2766</v>
      </c>
      <c r="J291" t="s">
        <v>2768</v>
      </c>
      <c r="K291" t="s">
        <v>4602</v>
      </c>
      <c r="L291" s="2">
        <v>43109</v>
      </c>
      <c r="N291" t="s">
        <v>4603</v>
      </c>
      <c r="O291" t="s">
        <v>309</v>
      </c>
      <c r="P291" t="s">
        <v>4604</v>
      </c>
      <c r="Q291" t="s">
        <v>345</v>
      </c>
      <c r="R291" s="2">
        <v>42740</v>
      </c>
      <c r="S291" s="2">
        <v>44929</v>
      </c>
      <c r="U291" t="s">
        <v>256</v>
      </c>
      <c r="V291" s="2">
        <v>39602</v>
      </c>
      <c r="W291" s="2">
        <v>40190</v>
      </c>
      <c r="X291" t="s">
        <v>51</v>
      </c>
    </row>
    <row r="292" spans="1:24" x14ac:dyDescent="0.2">
      <c r="A292" t="s">
        <v>4605</v>
      </c>
      <c r="B292" t="s">
        <v>920</v>
      </c>
      <c r="D292" t="s">
        <v>919</v>
      </c>
      <c r="E292" t="s">
        <v>921</v>
      </c>
      <c r="F292" t="s">
        <v>922</v>
      </c>
      <c r="G292" t="s">
        <v>4606</v>
      </c>
      <c r="I292" t="s">
        <v>923</v>
      </c>
      <c r="J292" t="s">
        <v>4607</v>
      </c>
      <c r="K292" t="s">
        <v>4608</v>
      </c>
      <c r="O292" t="s">
        <v>136</v>
      </c>
      <c r="P292" t="s">
        <v>4609</v>
      </c>
      <c r="Q292" t="s">
        <v>157</v>
      </c>
      <c r="S292" t="s">
        <v>4610</v>
      </c>
      <c r="V292" s="2">
        <v>37013</v>
      </c>
      <c r="W292" s="2">
        <v>38007</v>
      </c>
      <c r="X292" t="s">
        <v>51</v>
      </c>
    </row>
    <row r="293" spans="1:24" x14ac:dyDescent="0.2">
      <c r="A293" t="s">
        <v>4611</v>
      </c>
      <c r="B293" t="s">
        <v>791</v>
      </c>
      <c r="D293" t="s">
        <v>790</v>
      </c>
      <c r="E293" t="s">
        <v>792</v>
      </c>
      <c r="G293" t="s">
        <v>4612</v>
      </c>
      <c r="I293" t="s">
        <v>793</v>
      </c>
      <c r="J293" t="s">
        <v>795</v>
      </c>
      <c r="K293" t="s">
        <v>4613</v>
      </c>
      <c r="L293" s="2">
        <v>40915</v>
      </c>
      <c r="M293" s="2">
        <v>41283</v>
      </c>
      <c r="O293" t="s">
        <v>136</v>
      </c>
      <c r="P293" t="s">
        <v>4614</v>
      </c>
      <c r="Q293" t="s">
        <v>4578</v>
      </c>
      <c r="R293" s="2">
        <v>40547</v>
      </c>
      <c r="S293" s="2">
        <v>40915</v>
      </c>
      <c r="T293" t="s">
        <v>4615</v>
      </c>
      <c r="V293" s="2">
        <v>39098</v>
      </c>
      <c r="W293" s="2">
        <v>39406</v>
      </c>
      <c r="X293" t="s">
        <v>51</v>
      </c>
    </row>
    <row r="294" spans="1:24" x14ac:dyDescent="0.2">
      <c r="A294" t="s">
        <v>4616</v>
      </c>
      <c r="B294" t="s">
        <v>791</v>
      </c>
      <c r="D294" t="s">
        <v>1574</v>
      </c>
      <c r="E294" t="s">
        <v>1575</v>
      </c>
      <c r="G294" t="s">
        <v>4617</v>
      </c>
      <c r="I294" t="s">
        <v>1576</v>
      </c>
      <c r="J294" t="s">
        <v>230</v>
      </c>
      <c r="K294" t="s">
        <v>3476</v>
      </c>
      <c r="L294" s="2">
        <v>44568</v>
      </c>
      <c r="N294" t="s">
        <v>3494</v>
      </c>
      <c r="O294" t="s">
        <v>156</v>
      </c>
      <c r="P294" t="s">
        <v>612</v>
      </c>
      <c r="Q294" t="s">
        <v>4618</v>
      </c>
      <c r="R294" s="2">
        <v>43467</v>
      </c>
      <c r="S294" s="2">
        <v>44198</v>
      </c>
      <c r="V294" s="2">
        <v>43626</v>
      </c>
      <c r="W294" s="2">
        <v>44627</v>
      </c>
      <c r="X294" t="s">
        <v>51</v>
      </c>
    </row>
    <row r="295" spans="1:24" x14ac:dyDescent="0.2">
      <c r="A295" t="s">
        <v>4619</v>
      </c>
      <c r="B295" t="s">
        <v>791</v>
      </c>
      <c r="D295" t="s">
        <v>1660</v>
      </c>
      <c r="E295" t="s">
        <v>1661</v>
      </c>
      <c r="F295" t="s">
        <v>1662</v>
      </c>
      <c r="G295" t="s">
        <v>4620</v>
      </c>
      <c r="I295" t="s">
        <v>1663</v>
      </c>
      <c r="J295" t="s">
        <v>352</v>
      </c>
      <c r="K295" t="s">
        <v>4621</v>
      </c>
      <c r="L295" s="2">
        <v>43106</v>
      </c>
      <c r="O295" t="s">
        <v>402</v>
      </c>
      <c r="P295" t="s">
        <v>1664</v>
      </c>
      <c r="Q295" t="s">
        <v>3964</v>
      </c>
      <c r="R295" s="2">
        <v>42744</v>
      </c>
      <c r="S295" s="2">
        <v>43106</v>
      </c>
      <c r="V295" s="2">
        <v>42513</v>
      </c>
      <c r="W295" s="2">
        <v>42756</v>
      </c>
      <c r="X295" t="s">
        <v>51</v>
      </c>
    </row>
    <row r="296" spans="1:24" x14ac:dyDescent="0.2">
      <c r="A296" t="s">
        <v>4622</v>
      </c>
      <c r="B296" t="s">
        <v>791</v>
      </c>
      <c r="D296" t="s">
        <v>1724</v>
      </c>
      <c r="E296" t="s">
        <v>4623</v>
      </c>
      <c r="G296" t="s">
        <v>4624</v>
      </c>
      <c r="I296" t="s">
        <v>1726</v>
      </c>
      <c r="J296" t="s">
        <v>163</v>
      </c>
      <c r="K296" t="s">
        <v>3461</v>
      </c>
      <c r="L296" s="2">
        <v>44205</v>
      </c>
      <c r="N296" t="s">
        <v>3460</v>
      </c>
      <c r="O296" t="s">
        <v>67</v>
      </c>
      <c r="P296" t="s">
        <v>1664</v>
      </c>
      <c r="Q296" t="s">
        <v>3964</v>
      </c>
      <c r="R296" s="2">
        <v>43837</v>
      </c>
      <c r="T296" t="s">
        <v>3460</v>
      </c>
      <c r="V296" s="2">
        <v>42751</v>
      </c>
      <c r="W296" s="2">
        <v>42991</v>
      </c>
      <c r="X296" t="s">
        <v>51</v>
      </c>
    </row>
    <row r="297" spans="1:24" x14ac:dyDescent="0.2">
      <c r="A297" t="s">
        <v>4625</v>
      </c>
      <c r="B297" t="s">
        <v>791</v>
      </c>
      <c r="C297" t="s">
        <v>349</v>
      </c>
      <c r="D297" t="s">
        <v>2745</v>
      </c>
      <c r="E297" t="s">
        <v>2746</v>
      </c>
      <c r="I297" t="s">
        <v>2747</v>
      </c>
      <c r="J297" t="s">
        <v>2518</v>
      </c>
      <c r="K297" t="s">
        <v>4626</v>
      </c>
      <c r="L297" s="2">
        <v>43837</v>
      </c>
      <c r="M297" s="2">
        <v>44929</v>
      </c>
      <c r="N297" t="s">
        <v>3494</v>
      </c>
      <c r="O297" t="s">
        <v>214</v>
      </c>
      <c r="P297" t="s">
        <v>4248</v>
      </c>
      <c r="Q297" t="s">
        <v>4627</v>
      </c>
      <c r="R297" s="2">
        <v>44929</v>
      </c>
      <c r="T297" t="s">
        <v>3494</v>
      </c>
      <c r="U297" t="s">
        <v>214</v>
      </c>
      <c r="V297" s="2">
        <v>41058</v>
      </c>
      <c r="W297" s="2">
        <v>41918</v>
      </c>
      <c r="X297" t="s">
        <v>51</v>
      </c>
    </row>
    <row r="298" spans="1:24" x14ac:dyDescent="0.2">
      <c r="A298" t="s">
        <v>4628</v>
      </c>
      <c r="B298" t="s">
        <v>1153</v>
      </c>
      <c r="D298" t="s">
        <v>1152</v>
      </c>
      <c r="V298" s="2">
        <v>33419</v>
      </c>
      <c r="W298" s="2">
        <v>34233</v>
      </c>
      <c r="X298" t="s">
        <v>157</v>
      </c>
    </row>
    <row r="299" spans="1:24" x14ac:dyDescent="0.2">
      <c r="A299" t="s">
        <v>4629</v>
      </c>
      <c r="B299" t="s">
        <v>1153</v>
      </c>
      <c r="D299" t="s">
        <v>3277</v>
      </c>
      <c r="E299" t="s">
        <v>3278</v>
      </c>
      <c r="G299" t="s">
        <v>4630</v>
      </c>
      <c r="V299" s="2">
        <v>36655</v>
      </c>
      <c r="W299" s="2">
        <v>38007</v>
      </c>
      <c r="X299" t="s">
        <v>51</v>
      </c>
    </row>
    <row r="300" spans="1:24" x14ac:dyDescent="0.2">
      <c r="A300" t="s">
        <v>4631</v>
      </c>
      <c r="B300" t="s">
        <v>2750</v>
      </c>
      <c r="D300" t="s">
        <v>2749</v>
      </c>
      <c r="E300" t="s">
        <v>2751</v>
      </c>
      <c r="I300" t="s">
        <v>2752</v>
      </c>
      <c r="J300" t="s">
        <v>163</v>
      </c>
      <c r="K300" t="s">
        <v>4632</v>
      </c>
      <c r="L300" s="2">
        <v>42013</v>
      </c>
      <c r="M300" s="2">
        <v>44205</v>
      </c>
      <c r="O300" t="s">
        <v>67</v>
      </c>
      <c r="P300" t="s">
        <v>837</v>
      </c>
      <c r="Q300" t="s">
        <v>4633</v>
      </c>
      <c r="R300" s="2">
        <v>41645</v>
      </c>
      <c r="S300" s="2">
        <v>41647</v>
      </c>
      <c r="T300" t="s">
        <v>4634</v>
      </c>
      <c r="U300" t="s">
        <v>402</v>
      </c>
      <c r="V300" s="2">
        <v>41666</v>
      </c>
      <c r="W300" s="2">
        <v>41890</v>
      </c>
      <c r="X300" t="s">
        <v>51</v>
      </c>
    </row>
    <row r="301" spans="1:24" x14ac:dyDescent="0.2">
      <c r="A301" t="s">
        <v>4635</v>
      </c>
      <c r="B301" t="s">
        <v>3290</v>
      </c>
      <c r="D301" t="s">
        <v>3289</v>
      </c>
      <c r="E301" t="s">
        <v>3291</v>
      </c>
      <c r="F301" t="s">
        <v>4636</v>
      </c>
      <c r="G301" t="s">
        <v>4637</v>
      </c>
      <c r="I301" t="s">
        <v>3292</v>
      </c>
      <c r="J301" t="s">
        <v>3293</v>
      </c>
      <c r="K301" t="s">
        <v>4638</v>
      </c>
      <c r="L301" s="2">
        <v>44570</v>
      </c>
      <c r="N301" t="s">
        <v>4639</v>
      </c>
      <c r="O301" t="s">
        <v>1087</v>
      </c>
      <c r="P301" t="s">
        <v>3294</v>
      </c>
      <c r="Q301" t="s">
        <v>4640</v>
      </c>
      <c r="R301" s="2">
        <v>44569</v>
      </c>
      <c r="T301" t="s">
        <v>4641</v>
      </c>
      <c r="V301" s="2">
        <v>41310</v>
      </c>
      <c r="W301" s="2">
        <v>42809</v>
      </c>
      <c r="X301" t="s">
        <v>51</v>
      </c>
    </row>
    <row r="302" spans="1:24" x14ac:dyDescent="0.2">
      <c r="A302" t="s">
        <v>4642</v>
      </c>
      <c r="B302" t="s">
        <v>1398</v>
      </c>
      <c r="D302" t="s">
        <v>1397</v>
      </c>
      <c r="E302" t="s">
        <v>1399</v>
      </c>
      <c r="G302" t="s">
        <v>4643</v>
      </c>
      <c r="I302" t="s">
        <v>1400</v>
      </c>
      <c r="J302" t="s">
        <v>75</v>
      </c>
      <c r="K302" t="s">
        <v>4644</v>
      </c>
      <c r="L302" s="2">
        <v>43837</v>
      </c>
      <c r="N302" t="s">
        <v>3460</v>
      </c>
      <c r="O302" t="s">
        <v>402</v>
      </c>
      <c r="P302" t="s">
        <v>612</v>
      </c>
      <c r="Q302" t="s">
        <v>51</v>
      </c>
      <c r="R302" s="2">
        <v>43474</v>
      </c>
      <c r="S302" s="2">
        <v>43842</v>
      </c>
      <c r="T302" t="s">
        <v>4645</v>
      </c>
      <c r="V302" s="2">
        <v>43843</v>
      </c>
      <c r="X302" t="s">
        <v>4646</v>
      </c>
    </row>
    <row r="303" spans="1:24" x14ac:dyDescent="0.2">
      <c r="A303" t="s">
        <v>4647</v>
      </c>
      <c r="B303" t="s">
        <v>1398</v>
      </c>
      <c r="D303" t="s">
        <v>3172</v>
      </c>
      <c r="E303" t="s">
        <v>3173</v>
      </c>
      <c r="G303" t="s">
        <v>4648</v>
      </c>
      <c r="I303" t="s">
        <v>3174</v>
      </c>
      <c r="J303" t="s">
        <v>4649</v>
      </c>
      <c r="K303" t="s">
        <v>4650</v>
      </c>
      <c r="L303" s="2">
        <v>42740</v>
      </c>
      <c r="O303" t="s">
        <v>402</v>
      </c>
      <c r="P303" t="s">
        <v>3176</v>
      </c>
      <c r="Q303" t="s">
        <v>4651</v>
      </c>
      <c r="R303" s="2">
        <v>42006</v>
      </c>
      <c r="S303" s="2">
        <v>42740</v>
      </c>
      <c r="T303" t="s">
        <v>4645</v>
      </c>
      <c r="V303" s="2">
        <v>37797</v>
      </c>
      <c r="W303" s="2">
        <v>38007</v>
      </c>
      <c r="X303" t="s">
        <v>51</v>
      </c>
    </row>
    <row r="304" spans="1:24" x14ac:dyDescent="0.2">
      <c r="A304" t="s">
        <v>4652</v>
      </c>
      <c r="B304" t="s">
        <v>3315</v>
      </c>
      <c r="D304" t="s">
        <v>3314</v>
      </c>
      <c r="E304" t="s">
        <v>3316</v>
      </c>
      <c r="I304" t="s">
        <v>3317</v>
      </c>
      <c r="J304" t="s">
        <v>3318</v>
      </c>
      <c r="K304" t="s">
        <v>4653</v>
      </c>
      <c r="L304" s="2">
        <v>42742</v>
      </c>
      <c r="M304" s="2">
        <v>42744</v>
      </c>
      <c r="N304" t="s">
        <v>4645</v>
      </c>
      <c r="O304" t="s">
        <v>136</v>
      </c>
      <c r="P304" t="s">
        <v>4654</v>
      </c>
      <c r="Q304" t="s">
        <v>4655</v>
      </c>
      <c r="R304" s="2">
        <v>42371</v>
      </c>
      <c r="S304" s="2">
        <v>42737</v>
      </c>
      <c r="V304" s="2">
        <v>42159</v>
      </c>
      <c r="W304" s="2">
        <v>43017</v>
      </c>
      <c r="X304" t="s">
        <v>51</v>
      </c>
    </row>
    <row r="305" spans="1:26" x14ac:dyDescent="0.2">
      <c r="A305" t="s">
        <v>4656</v>
      </c>
      <c r="B305" t="s">
        <v>2999</v>
      </c>
      <c r="D305" t="s">
        <v>2998</v>
      </c>
      <c r="E305" t="s">
        <v>3000</v>
      </c>
      <c r="I305" t="s">
        <v>3001</v>
      </c>
      <c r="J305" t="s">
        <v>2374</v>
      </c>
      <c r="K305" t="s">
        <v>4657</v>
      </c>
      <c r="L305" s="2">
        <v>43105</v>
      </c>
      <c r="M305" s="2">
        <v>43836</v>
      </c>
      <c r="O305" t="s">
        <v>402</v>
      </c>
      <c r="P305" t="s">
        <v>4658</v>
      </c>
      <c r="Q305" t="s">
        <v>4659</v>
      </c>
      <c r="R305" s="2">
        <v>42742</v>
      </c>
      <c r="S305" s="2">
        <v>43104</v>
      </c>
      <c r="T305" t="s">
        <v>4660</v>
      </c>
      <c r="V305" s="2">
        <v>35831</v>
      </c>
      <c r="W305" s="2">
        <v>35990</v>
      </c>
      <c r="X305" t="s">
        <v>4103</v>
      </c>
    </row>
    <row r="306" spans="1:26" x14ac:dyDescent="0.2">
      <c r="A306" t="s">
        <v>4661</v>
      </c>
      <c r="B306" t="s">
        <v>2491</v>
      </c>
      <c r="D306" t="s">
        <v>2490</v>
      </c>
      <c r="E306" t="s">
        <v>2492</v>
      </c>
      <c r="F306" t="s">
        <v>2493</v>
      </c>
      <c r="G306" t="s">
        <v>4662</v>
      </c>
      <c r="H306" t="s">
        <v>4663</v>
      </c>
      <c r="I306" t="s">
        <v>2494</v>
      </c>
      <c r="J306" t="s">
        <v>75</v>
      </c>
      <c r="K306" t="s">
        <v>4664</v>
      </c>
      <c r="L306" s="2">
        <v>43834</v>
      </c>
      <c r="M306" s="2">
        <v>44568</v>
      </c>
      <c r="O306" t="s">
        <v>402</v>
      </c>
      <c r="P306" t="s">
        <v>4665</v>
      </c>
      <c r="Q306" t="s">
        <v>4666</v>
      </c>
      <c r="R306" s="2">
        <v>43472</v>
      </c>
      <c r="S306" s="2">
        <v>43832</v>
      </c>
      <c r="T306" t="s">
        <v>4645</v>
      </c>
      <c r="V306" s="2">
        <v>42513</v>
      </c>
      <c r="W306" s="2">
        <v>43003</v>
      </c>
      <c r="X306" t="s">
        <v>51</v>
      </c>
    </row>
    <row r="307" spans="1:26" x14ac:dyDescent="0.2">
      <c r="A307" t="s">
        <v>4667</v>
      </c>
      <c r="B307" t="s">
        <v>1629</v>
      </c>
      <c r="D307" t="s">
        <v>1628</v>
      </c>
      <c r="I307" t="s">
        <v>1631</v>
      </c>
      <c r="J307" t="s">
        <v>4668</v>
      </c>
      <c r="K307" t="s">
        <v>3832</v>
      </c>
      <c r="L307" s="2">
        <v>44563</v>
      </c>
      <c r="P307" t="s">
        <v>1633</v>
      </c>
      <c r="Q307" t="s">
        <v>3555</v>
      </c>
      <c r="R307" s="2">
        <v>44202</v>
      </c>
      <c r="S307" s="2">
        <v>44205</v>
      </c>
      <c r="V307" s="2">
        <v>43843</v>
      </c>
      <c r="X307" t="s">
        <v>730</v>
      </c>
    </row>
    <row r="308" spans="1:26" x14ac:dyDescent="0.2">
      <c r="A308" t="s">
        <v>4669</v>
      </c>
      <c r="B308" t="s">
        <v>1629</v>
      </c>
      <c r="D308" t="s">
        <v>2002</v>
      </c>
      <c r="E308" t="s">
        <v>4670</v>
      </c>
      <c r="F308" t="s">
        <v>2003</v>
      </c>
      <c r="I308" t="s">
        <v>2004</v>
      </c>
      <c r="J308" t="s">
        <v>2005</v>
      </c>
      <c r="K308" t="s">
        <v>3717</v>
      </c>
      <c r="L308" s="2">
        <v>44570</v>
      </c>
      <c r="N308" t="s">
        <v>3494</v>
      </c>
      <c r="O308" t="s">
        <v>214</v>
      </c>
      <c r="P308" t="s">
        <v>436</v>
      </c>
      <c r="Q308" t="s">
        <v>3476</v>
      </c>
      <c r="R308" s="2">
        <v>43840</v>
      </c>
      <c r="S308" s="2">
        <v>44569</v>
      </c>
      <c r="T308" t="s">
        <v>3494</v>
      </c>
      <c r="U308" t="s">
        <v>357</v>
      </c>
      <c r="V308" s="2">
        <v>42886</v>
      </c>
      <c r="W308" s="2">
        <v>43152</v>
      </c>
      <c r="X308" t="s">
        <v>51</v>
      </c>
    </row>
    <row r="309" spans="1:26" x14ac:dyDescent="0.2">
      <c r="A309" t="s">
        <v>4671</v>
      </c>
      <c r="B309" t="s">
        <v>2357</v>
      </c>
      <c r="D309" t="s">
        <v>2786</v>
      </c>
      <c r="E309" t="s">
        <v>2787</v>
      </c>
      <c r="G309" t="s">
        <v>4672</v>
      </c>
      <c r="I309" t="s">
        <v>2789</v>
      </c>
      <c r="J309" t="s">
        <v>2790</v>
      </c>
      <c r="K309" t="s">
        <v>4673</v>
      </c>
      <c r="L309" s="2">
        <v>44197</v>
      </c>
      <c r="N309" t="s">
        <v>3460</v>
      </c>
      <c r="P309" t="s">
        <v>1840</v>
      </c>
      <c r="Q309" t="s">
        <v>4674</v>
      </c>
      <c r="R309" s="2">
        <v>39459</v>
      </c>
      <c r="S309" s="2">
        <v>43102</v>
      </c>
      <c r="U309" t="s">
        <v>402</v>
      </c>
      <c r="V309" s="2">
        <v>38860</v>
      </c>
      <c r="W309" s="2">
        <v>39882</v>
      </c>
      <c r="X309" t="s">
        <v>51</v>
      </c>
    </row>
    <row r="310" spans="1:26" x14ac:dyDescent="0.2">
      <c r="A310" t="s">
        <v>4675</v>
      </c>
      <c r="B310" t="s">
        <v>2357</v>
      </c>
      <c r="D310" t="s">
        <v>2836</v>
      </c>
      <c r="I310" t="s">
        <v>2838</v>
      </c>
      <c r="J310" t="s">
        <v>2839</v>
      </c>
      <c r="K310" t="s">
        <v>4676</v>
      </c>
      <c r="L310" s="2">
        <v>44568</v>
      </c>
      <c r="N310" t="s">
        <v>3494</v>
      </c>
      <c r="P310" t="s">
        <v>1867</v>
      </c>
      <c r="Q310" t="s">
        <v>4677</v>
      </c>
      <c r="R310" s="2">
        <v>44208</v>
      </c>
      <c r="S310" s="2">
        <v>44566</v>
      </c>
      <c r="T310" t="s">
        <v>3460</v>
      </c>
      <c r="V310" s="2">
        <v>43626</v>
      </c>
      <c r="X310" t="s">
        <v>51</v>
      </c>
    </row>
    <row r="311" spans="1:26" x14ac:dyDescent="0.2">
      <c r="A311" t="s">
        <v>4678</v>
      </c>
      <c r="B311" t="s">
        <v>1673</v>
      </c>
      <c r="D311" t="s">
        <v>1672</v>
      </c>
      <c r="E311" t="s">
        <v>1674</v>
      </c>
      <c r="F311" t="s">
        <v>1675</v>
      </c>
      <c r="I311" t="s">
        <v>1676</v>
      </c>
      <c r="J311" t="s">
        <v>1384</v>
      </c>
      <c r="K311" t="s">
        <v>4159</v>
      </c>
      <c r="L311" s="2">
        <v>44206</v>
      </c>
      <c r="N311" t="s">
        <v>4679</v>
      </c>
      <c r="O311" t="s">
        <v>67</v>
      </c>
      <c r="V311" s="2">
        <v>43840</v>
      </c>
      <c r="W311" s="2">
        <v>44375</v>
      </c>
      <c r="X311" t="s">
        <v>51</v>
      </c>
    </row>
    <row r="312" spans="1:26" x14ac:dyDescent="0.2">
      <c r="A312" t="s">
        <v>4680</v>
      </c>
      <c r="B312" t="s">
        <v>2486</v>
      </c>
      <c r="D312" t="s">
        <v>2485</v>
      </c>
      <c r="I312" t="s">
        <v>4681</v>
      </c>
      <c r="J312" t="s">
        <v>4682</v>
      </c>
      <c r="K312" t="s">
        <v>4683</v>
      </c>
      <c r="L312" s="2">
        <v>44566</v>
      </c>
      <c r="N312" t="s">
        <v>4684</v>
      </c>
      <c r="V312" s="2">
        <v>44206</v>
      </c>
      <c r="W312" s="2">
        <v>44862</v>
      </c>
      <c r="X312" t="s">
        <v>51</v>
      </c>
    </row>
    <row r="313" spans="1:26" x14ac:dyDescent="0.2">
      <c r="A313" t="s">
        <v>3484</v>
      </c>
      <c r="B313" t="s">
        <v>54</v>
      </c>
      <c r="D313" t="s">
        <v>1999</v>
      </c>
      <c r="E313" t="s">
        <v>2000</v>
      </c>
      <c r="G313" t="s">
        <v>3485</v>
      </c>
      <c r="I313" t="s">
        <v>4685</v>
      </c>
      <c r="J313" t="s">
        <v>1124</v>
      </c>
      <c r="K313" t="s">
        <v>4686</v>
      </c>
      <c r="L313" s="2">
        <v>44570</v>
      </c>
      <c r="N313" t="s">
        <v>3460</v>
      </c>
      <c r="P313" t="s">
        <v>1447</v>
      </c>
      <c r="Q313" t="s">
        <v>4687</v>
      </c>
      <c r="R313" s="2">
        <v>44202</v>
      </c>
      <c r="S313" s="2">
        <v>44205</v>
      </c>
      <c r="T313" t="s">
        <v>3460</v>
      </c>
      <c r="V313" s="2">
        <v>43831</v>
      </c>
      <c r="W313" s="2">
        <v>44620</v>
      </c>
      <c r="X313" t="s">
        <v>68</v>
      </c>
      <c r="Y313" t="s">
        <v>3488</v>
      </c>
      <c r="Z313" t="s">
        <v>3489</v>
      </c>
    </row>
    <row r="314" spans="1:26" x14ac:dyDescent="0.2">
      <c r="A314" t="s">
        <v>4688</v>
      </c>
      <c r="B314" t="s">
        <v>1022</v>
      </c>
      <c r="D314" t="s">
        <v>1021</v>
      </c>
      <c r="E314" t="s">
        <v>1023</v>
      </c>
      <c r="G314" t="s">
        <v>4010</v>
      </c>
      <c r="I314" t="s">
        <v>4689</v>
      </c>
      <c r="J314" t="s">
        <v>1026</v>
      </c>
      <c r="K314" t="s">
        <v>4011</v>
      </c>
      <c r="L314" s="2">
        <v>44563</v>
      </c>
      <c r="N314" t="s">
        <v>3460</v>
      </c>
      <c r="P314" t="s">
        <v>2080</v>
      </c>
      <c r="Q314" t="s">
        <v>3461</v>
      </c>
      <c r="R314" s="2">
        <v>43474</v>
      </c>
      <c r="S314" s="2">
        <v>43841</v>
      </c>
      <c r="T314" t="s">
        <v>4645</v>
      </c>
      <c r="V314" s="2">
        <v>42513</v>
      </c>
      <c r="W314" s="2">
        <v>44620</v>
      </c>
      <c r="X314" t="s">
        <v>51</v>
      </c>
    </row>
    <row r="315" spans="1:26" x14ac:dyDescent="0.2">
      <c r="A315" t="s">
        <v>4690</v>
      </c>
      <c r="B315" t="s">
        <v>1183</v>
      </c>
      <c r="D315" t="s">
        <v>1182</v>
      </c>
      <c r="E315" t="s">
        <v>1184</v>
      </c>
      <c r="I315" t="s">
        <v>1185</v>
      </c>
      <c r="J315" t="s">
        <v>578</v>
      </c>
      <c r="K315" t="s">
        <v>4691</v>
      </c>
      <c r="L315" s="2">
        <v>41644</v>
      </c>
      <c r="N315" t="s">
        <v>3494</v>
      </c>
      <c r="O315" t="s">
        <v>402</v>
      </c>
      <c r="P315" t="s">
        <v>1187</v>
      </c>
      <c r="Q315" t="s">
        <v>4692</v>
      </c>
      <c r="R315" s="2">
        <v>40550</v>
      </c>
      <c r="U315" t="s">
        <v>156</v>
      </c>
      <c r="V315" s="2">
        <v>40323</v>
      </c>
      <c r="W315" s="2">
        <v>40513</v>
      </c>
      <c r="X315" t="s">
        <v>290</v>
      </c>
    </row>
    <row r="316" spans="1:26" x14ac:dyDescent="0.2">
      <c r="A316" t="s">
        <v>4693</v>
      </c>
      <c r="B316" t="s">
        <v>2295</v>
      </c>
      <c r="D316" t="s">
        <v>2294</v>
      </c>
      <c r="I316" t="s">
        <v>2296</v>
      </c>
      <c r="J316" t="s">
        <v>197</v>
      </c>
      <c r="K316" t="s">
        <v>3642</v>
      </c>
      <c r="L316" s="2">
        <v>44568</v>
      </c>
      <c r="M316" s="2">
        <v>44572</v>
      </c>
      <c r="N316" t="s">
        <v>4694</v>
      </c>
      <c r="P316" t="s">
        <v>2298</v>
      </c>
      <c r="Q316" t="s">
        <v>3773</v>
      </c>
      <c r="R316" s="2">
        <v>44563</v>
      </c>
      <c r="S316" s="2">
        <v>44565</v>
      </c>
      <c r="V316" s="2">
        <v>43626</v>
      </c>
      <c r="X316" t="s">
        <v>51</v>
      </c>
    </row>
    <row r="317" spans="1:26" x14ac:dyDescent="0.2">
      <c r="A317" t="s">
        <v>4695</v>
      </c>
      <c r="B317" t="s">
        <v>542</v>
      </c>
      <c r="D317" t="s">
        <v>537</v>
      </c>
      <c r="E317" t="s">
        <v>543</v>
      </c>
      <c r="G317" t="s">
        <v>4696</v>
      </c>
      <c r="I317" t="s">
        <v>544</v>
      </c>
      <c r="J317" t="s">
        <v>4697</v>
      </c>
      <c r="K317" t="s">
        <v>4698</v>
      </c>
      <c r="L317" s="2">
        <v>44565</v>
      </c>
      <c r="M317" s="2">
        <v>44568</v>
      </c>
      <c r="N317" t="s">
        <v>4699</v>
      </c>
      <c r="V317" s="2">
        <v>39329</v>
      </c>
      <c r="W317" s="2">
        <v>40190</v>
      </c>
      <c r="X317" t="s">
        <v>51</v>
      </c>
    </row>
    <row r="318" spans="1:26" x14ac:dyDescent="0.2">
      <c r="A318" t="s">
        <v>4062</v>
      </c>
      <c r="B318" t="s">
        <v>2024</v>
      </c>
      <c r="D318" t="s">
        <v>4063</v>
      </c>
      <c r="I318" t="s">
        <v>2027</v>
      </c>
      <c r="J318" t="s">
        <v>2030</v>
      </c>
      <c r="K318" t="s">
        <v>4700</v>
      </c>
      <c r="L318" s="2">
        <v>42005</v>
      </c>
      <c r="M318" s="2">
        <v>44929</v>
      </c>
      <c r="N318" t="s">
        <v>4701</v>
      </c>
      <c r="P318" t="s">
        <v>352</v>
      </c>
      <c r="Q318" t="s">
        <v>4646</v>
      </c>
      <c r="R318" s="2">
        <v>37260</v>
      </c>
      <c r="S318" s="2">
        <v>41651</v>
      </c>
      <c r="T318" t="s">
        <v>4701</v>
      </c>
      <c r="V318" s="2">
        <v>36280</v>
      </c>
      <c r="W318" s="2">
        <v>37298</v>
      </c>
      <c r="X318" t="s">
        <v>51</v>
      </c>
    </row>
    <row r="319" spans="1:26" x14ac:dyDescent="0.2">
      <c r="A319" t="s">
        <v>4702</v>
      </c>
      <c r="B319" t="s">
        <v>2903</v>
      </c>
      <c r="D319" t="s">
        <v>2902</v>
      </c>
      <c r="E319" t="s">
        <v>2904</v>
      </c>
      <c r="F319" t="s">
        <v>2905</v>
      </c>
      <c r="I319" t="s">
        <v>2906</v>
      </c>
      <c r="J319" t="s">
        <v>551</v>
      </c>
      <c r="K319" t="s">
        <v>4703</v>
      </c>
      <c r="L319" s="2">
        <v>42738</v>
      </c>
      <c r="N319" t="s">
        <v>3460</v>
      </c>
      <c r="O319" t="s">
        <v>156</v>
      </c>
      <c r="P319" t="s">
        <v>2907</v>
      </c>
      <c r="Q319" t="s">
        <v>3733</v>
      </c>
      <c r="R319" s="2">
        <v>40912</v>
      </c>
      <c r="S319" s="2">
        <v>43469</v>
      </c>
      <c r="T319" t="s">
        <v>3460</v>
      </c>
      <c r="V319" s="2">
        <v>36655</v>
      </c>
      <c r="W319" s="2">
        <v>38007</v>
      </c>
      <c r="X319" t="s">
        <v>51</v>
      </c>
    </row>
    <row r="320" spans="1:26" x14ac:dyDescent="0.2">
      <c r="A320" t="s">
        <v>4704</v>
      </c>
      <c r="B320" t="s">
        <v>294</v>
      </c>
      <c r="D320" t="s">
        <v>293</v>
      </c>
      <c r="E320" t="s">
        <v>295</v>
      </c>
      <c r="G320" t="s">
        <v>4705</v>
      </c>
      <c r="I320" t="s">
        <v>296</v>
      </c>
      <c r="J320" t="s">
        <v>297</v>
      </c>
      <c r="K320" t="s">
        <v>4706</v>
      </c>
      <c r="L320" s="2">
        <v>39456</v>
      </c>
      <c r="O320" t="s">
        <v>67</v>
      </c>
      <c r="P320" t="s">
        <v>4707</v>
      </c>
      <c r="Q320" t="s">
        <v>4708</v>
      </c>
      <c r="R320" s="2">
        <v>40180</v>
      </c>
      <c r="S320" s="2">
        <v>40184</v>
      </c>
      <c r="V320" s="2">
        <v>39098</v>
      </c>
      <c r="W320" s="2">
        <v>39882</v>
      </c>
      <c r="X320" t="s">
        <v>453</v>
      </c>
    </row>
    <row r="321" spans="1:25" x14ac:dyDescent="0.2">
      <c r="A321" t="s">
        <v>4709</v>
      </c>
      <c r="B321" t="s">
        <v>294</v>
      </c>
      <c r="D321" t="s">
        <v>724</v>
      </c>
      <c r="E321" t="s">
        <v>725</v>
      </c>
      <c r="I321" t="s">
        <v>726</v>
      </c>
      <c r="J321" t="s">
        <v>727</v>
      </c>
      <c r="K321" t="s">
        <v>4710</v>
      </c>
      <c r="L321" s="2">
        <v>43839</v>
      </c>
      <c r="N321" t="s">
        <v>3460</v>
      </c>
      <c r="O321" t="s">
        <v>156</v>
      </c>
      <c r="P321" t="s">
        <v>58</v>
      </c>
      <c r="Q321" t="s">
        <v>4711</v>
      </c>
      <c r="R321" s="2">
        <v>44203</v>
      </c>
      <c r="S321" s="2">
        <v>44207</v>
      </c>
      <c r="T321" t="s">
        <v>3460</v>
      </c>
      <c r="U321" t="s">
        <v>67</v>
      </c>
      <c r="V321" s="2">
        <v>43115</v>
      </c>
      <c r="W321" s="2">
        <v>43731</v>
      </c>
      <c r="X321" t="s">
        <v>51</v>
      </c>
    </row>
    <row r="322" spans="1:25" x14ac:dyDescent="0.2">
      <c r="A322" t="s">
        <v>4712</v>
      </c>
      <c r="B322" t="s">
        <v>294</v>
      </c>
      <c r="D322" t="s">
        <v>1231</v>
      </c>
      <c r="E322" t="s">
        <v>1232</v>
      </c>
      <c r="G322" t="s">
        <v>4713</v>
      </c>
      <c r="I322" t="s">
        <v>1233</v>
      </c>
      <c r="J322" t="s">
        <v>824</v>
      </c>
      <c r="K322" t="s">
        <v>4714</v>
      </c>
      <c r="L322" s="2">
        <v>40555</v>
      </c>
      <c r="N322" t="s">
        <v>3460</v>
      </c>
      <c r="O322" t="s">
        <v>156</v>
      </c>
      <c r="P322" t="s">
        <v>4715</v>
      </c>
      <c r="Q322" t="s">
        <v>4716</v>
      </c>
      <c r="R322" s="2">
        <v>40187</v>
      </c>
      <c r="S322" s="2">
        <v>40553</v>
      </c>
      <c r="T322" t="s">
        <v>3460</v>
      </c>
      <c r="V322" s="2">
        <v>39518</v>
      </c>
      <c r="W322" s="2">
        <v>40190</v>
      </c>
      <c r="X322" t="s">
        <v>730</v>
      </c>
    </row>
    <row r="323" spans="1:25" x14ac:dyDescent="0.2">
      <c r="A323" t="s">
        <v>4717</v>
      </c>
      <c r="B323" t="s">
        <v>294</v>
      </c>
      <c r="D323" t="s">
        <v>1764</v>
      </c>
      <c r="E323" t="s">
        <v>1765</v>
      </c>
      <c r="I323" t="s">
        <v>4718</v>
      </c>
      <c r="J323" t="s">
        <v>837</v>
      </c>
      <c r="K323" t="s">
        <v>4719</v>
      </c>
      <c r="N323" t="s">
        <v>3460</v>
      </c>
      <c r="P323" t="s">
        <v>844</v>
      </c>
      <c r="Q323" t="s">
        <v>4720</v>
      </c>
      <c r="R323" s="2">
        <v>44197</v>
      </c>
      <c r="S323" s="2">
        <v>44562</v>
      </c>
      <c r="T323" t="s">
        <v>3460</v>
      </c>
      <c r="V323" s="2">
        <v>43843</v>
      </c>
      <c r="X323" t="s">
        <v>51</v>
      </c>
    </row>
    <row r="324" spans="1:25" x14ac:dyDescent="0.2">
      <c r="A324" t="s">
        <v>4721</v>
      </c>
      <c r="B324" t="s">
        <v>1683</v>
      </c>
      <c r="D324" t="s">
        <v>1682</v>
      </c>
      <c r="J324" t="s">
        <v>244</v>
      </c>
      <c r="K324" t="s">
        <v>4722</v>
      </c>
      <c r="L324" s="2">
        <v>44571</v>
      </c>
      <c r="N324" t="s">
        <v>3494</v>
      </c>
      <c r="P324" t="s">
        <v>1686</v>
      </c>
      <c r="Q324" t="s">
        <v>4723</v>
      </c>
      <c r="R324" s="2">
        <v>44567</v>
      </c>
      <c r="S324" s="2">
        <v>44569</v>
      </c>
      <c r="T324" t="s">
        <v>3494</v>
      </c>
      <c r="X324" t="s">
        <v>51</v>
      </c>
    </row>
    <row r="325" spans="1:25" x14ac:dyDescent="0.2">
      <c r="A325" t="s">
        <v>4724</v>
      </c>
      <c r="B325" t="s">
        <v>3064</v>
      </c>
      <c r="C325" t="s">
        <v>258</v>
      </c>
      <c r="D325" t="s">
        <v>3063</v>
      </c>
      <c r="E325" t="s">
        <v>4725</v>
      </c>
      <c r="G325" t="s">
        <v>4726</v>
      </c>
      <c r="I325" t="s">
        <v>3067</v>
      </c>
      <c r="J325" t="s">
        <v>4727</v>
      </c>
      <c r="K325" t="s">
        <v>4728</v>
      </c>
      <c r="L325" s="2">
        <v>44570</v>
      </c>
      <c r="N325" t="s">
        <v>4729</v>
      </c>
      <c r="P325" t="s">
        <v>4730</v>
      </c>
      <c r="Q325" t="s">
        <v>4731</v>
      </c>
      <c r="R325" s="2">
        <v>44567</v>
      </c>
      <c r="S325" s="2">
        <v>44569</v>
      </c>
      <c r="T325" t="s">
        <v>4732</v>
      </c>
      <c r="V325" s="2">
        <v>43833</v>
      </c>
      <c r="W325" t="s">
        <v>3070</v>
      </c>
      <c r="X325" t="s">
        <v>51</v>
      </c>
      <c r="Y325" t="s">
        <v>3489</v>
      </c>
    </row>
    <row r="326" spans="1:25" x14ac:dyDescent="0.2">
      <c r="A326" t="s">
        <v>4733</v>
      </c>
      <c r="B326" t="s">
        <v>1063</v>
      </c>
      <c r="D326" t="s">
        <v>1062</v>
      </c>
      <c r="E326" t="s">
        <v>1064</v>
      </c>
      <c r="X326" t="s">
        <v>51</v>
      </c>
    </row>
    <row r="327" spans="1:25" x14ac:dyDescent="0.2">
      <c r="A327" t="s">
        <v>4734</v>
      </c>
      <c r="B327" t="s">
        <v>1063</v>
      </c>
      <c r="D327" t="s">
        <v>2545</v>
      </c>
      <c r="E327" t="s">
        <v>4735</v>
      </c>
      <c r="V327" s="2">
        <v>43115</v>
      </c>
      <c r="W327" s="2">
        <v>43631</v>
      </c>
      <c r="X327" t="s">
        <v>51</v>
      </c>
    </row>
    <row r="328" spans="1:25" x14ac:dyDescent="0.2">
      <c r="A328" t="s">
        <v>4736</v>
      </c>
      <c r="B328" t="s">
        <v>2045</v>
      </c>
      <c r="D328" t="s">
        <v>2046</v>
      </c>
      <c r="E328" t="s">
        <v>2047</v>
      </c>
      <c r="I328" t="s">
        <v>4737</v>
      </c>
      <c r="J328" t="s">
        <v>3458</v>
      </c>
      <c r="K328" t="s">
        <v>64</v>
      </c>
      <c r="L328" s="2">
        <v>41283</v>
      </c>
      <c r="N328" t="s">
        <v>4738</v>
      </c>
      <c r="P328" t="s">
        <v>2049</v>
      </c>
      <c r="Q328" t="s">
        <v>3461</v>
      </c>
      <c r="R328" s="2">
        <v>40911</v>
      </c>
      <c r="S328" s="2">
        <v>41277</v>
      </c>
      <c r="T328" t="s">
        <v>4739</v>
      </c>
      <c r="V328" s="2">
        <v>39882</v>
      </c>
      <c r="W328" s="2">
        <v>40360</v>
      </c>
      <c r="X328" t="s">
        <v>51</v>
      </c>
    </row>
    <row r="329" spans="1:25" x14ac:dyDescent="0.2">
      <c r="A329" t="s">
        <v>4740</v>
      </c>
      <c r="B329" t="s">
        <v>2066</v>
      </c>
      <c r="D329" t="s">
        <v>2065</v>
      </c>
      <c r="I329" t="s">
        <v>2069</v>
      </c>
      <c r="J329" t="s">
        <v>1417</v>
      </c>
      <c r="K329" t="s">
        <v>4741</v>
      </c>
      <c r="L329" s="2">
        <v>44564</v>
      </c>
      <c r="N329" t="s">
        <v>3460</v>
      </c>
      <c r="O329" t="s">
        <v>402</v>
      </c>
      <c r="P329" t="s">
        <v>1265</v>
      </c>
      <c r="Q329" t="s">
        <v>4742</v>
      </c>
      <c r="R329" s="2">
        <v>43110</v>
      </c>
      <c r="S329" s="2">
        <v>44206</v>
      </c>
      <c r="U329" t="s">
        <v>67</v>
      </c>
      <c r="X329" t="s">
        <v>69</v>
      </c>
    </row>
    <row r="330" spans="1:25" x14ac:dyDescent="0.2">
      <c r="A330" t="s">
        <v>4743</v>
      </c>
      <c r="B330" t="s">
        <v>496</v>
      </c>
      <c r="D330" t="s">
        <v>495</v>
      </c>
      <c r="E330" t="s">
        <v>497</v>
      </c>
      <c r="I330" t="s">
        <v>498</v>
      </c>
      <c r="J330" t="s">
        <v>499</v>
      </c>
      <c r="K330" t="s">
        <v>4744</v>
      </c>
      <c r="L330" s="2">
        <v>36528</v>
      </c>
      <c r="N330" t="s">
        <v>3460</v>
      </c>
      <c r="O330" t="s">
        <v>156</v>
      </c>
      <c r="P330" t="s">
        <v>4745</v>
      </c>
      <c r="Q330" t="s">
        <v>4746</v>
      </c>
      <c r="R330" t="s">
        <v>4747</v>
      </c>
      <c r="S330" s="2">
        <v>36527</v>
      </c>
      <c r="T330" t="s">
        <v>3460</v>
      </c>
      <c r="V330" s="2">
        <v>33865</v>
      </c>
      <c r="W330" s="2">
        <v>34236</v>
      </c>
      <c r="X330" t="s">
        <v>51</v>
      </c>
    </row>
    <row r="331" spans="1:25" x14ac:dyDescent="0.2">
      <c r="A331" t="s">
        <v>4748</v>
      </c>
      <c r="B331" t="s">
        <v>700</v>
      </c>
      <c r="D331" t="s">
        <v>699</v>
      </c>
      <c r="E331" t="s">
        <v>701</v>
      </c>
      <c r="I331" t="s">
        <v>702</v>
      </c>
      <c r="J331" t="s">
        <v>612</v>
      </c>
      <c r="K331" t="s">
        <v>51</v>
      </c>
      <c r="L331" s="2">
        <v>42372</v>
      </c>
      <c r="M331" s="2">
        <v>43109</v>
      </c>
      <c r="N331" t="s">
        <v>3460</v>
      </c>
      <c r="P331" t="s">
        <v>4749</v>
      </c>
      <c r="Q331" t="s">
        <v>4750</v>
      </c>
      <c r="R331" s="2">
        <v>41646</v>
      </c>
      <c r="S331" s="2">
        <v>41647</v>
      </c>
      <c r="T331" t="s">
        <v>4751</v>
      </c>
      <c r="U331" t="s">
        <v>402</v>
      </c>
      <c r="V331" s="2">
        <v>42513</v>
      </c>
      <c r="W331" s="2">
        <v>43473</v>
      </c>
      <c r="X331" t="s">
        <v>51</v>
      </c>
    </row>
    <row r="332" spans="1:25" x14ac:dyDescent="0.2">
      <c r="A332" t="s">
        <v>4752</v>
      </c>
      <c r="B332" t="s">
        <v>1963</v>
      </c>
      <c r="D332" t="s">
        <v>1956</v>
      </c>
      <c r="E332" t="s">
        <v>1964</v>
      </c>
      <c r="I332" t="s">
        <v>1965</v>
      </c>
      <c r="J332" t="s">
        <v>1967</v>
      </c>
      <c r="K332" t="s">
        <v>4753</v>
      </c>
      <c r="L332" s="2">
        <v>44562</v>
      </c>
      <c r="N332" t="s">
        <v>4754</v>
      </c>
      <c r="O332" t="s">
        <v>602</v>
      </c>
      <c r="P332" t="s">
        <v>4755</v>
      </c>
      <c r="Q332" t="s">
        <v>4756</v>
      </c>
      <c r="R332" s="2">
        <v>43111</v>
      </c>
      <c r="S332" s="2">
        <v>44202</v>
      </c>
      <c r="V332" s="2">
        <v>33240</v>
      </c>
      <c r="W332" s="2">
        <v>34233</v>
      </c>
      <c r="X332" t="s">
        <v>51</v>
      </c>
    </row>
    <row r="333" spans="1:25" x14ac:dyDescent="0.2">
      <c r="A333" t="s">
        <v>4757</v>
      </c>
      <c r="B333" t="s">
        <v>1963</v>
      </c>
      <c r="D333" t="s">
        <v>1952</v>
      </c>
      <c r="E333" t="s">
        <v>3310</v>
      </c>
      <c r="G333" t="s">
        <v>4758</v>
      </c>
      <c r="I333" t="s">
        <v>3311</v>
      </c>
      <c r="J333" t="s">
        <v>3312</v>
      </c>
      <c r="K333" t="s">
        <v>4759</v>
      </c>
      <c r="L333" s="2">
        <v>42013</v>
      </c>
      <c r="N333" t="s">
        <v>4760</v>
      </c>
      <c r="O333" t="s">
        <v>402</v>
      </c>
      <c r="P333" t="s">
        <v>3313</v>
      </c>
      <c r="Q333" t="s">
        <v>4761</v>
      </c>
      <c r="R333" s="2">
        <v>40552</v>
      </c>
      <c r="S333" s="2">
        <v>42012</v>
      </c>
      <c r="T333" t="s">
        <v>4760</v>
      </c>
      <c r="V333" s="2">
        <v>38007</v>
      </c>
      <c r="W333" s="2">
        <v>38860</v>
      </c>
      <c r="X333" t="s">
        <v>51</v>
      </c>
    </row>
    <row r="334" spans="1:25" x14ac:dyDescent="0.2">
      <c r="A334" t="s">
        <v>4762</v>
      </c>
      <c r="B334" t="s">
        <v>193</v>
      </c>
      <c r="D334" t="s">
        <v>192</v>
      </c>
      <c r="V334" s="2">
        <v>33240</v>
      </c>
      <c r="W334" s="2">
        <v>34233</v>
      </c>
      <c r="X334" t="s">
        <v>51</v>
      </c>
    </row>
    <row r="335" spans="1:25" x14ac:dyDescent="0.2">
      <c r="A335" t="s">
        <v>4763</v>
      </c>
      <c r="B335" t="s">
        <v>193</v>
      </c>
      <c r="D335" t="s">
        <v>310</v>
      </c>
      <c r="E335" t="s">
        <v>311</v>
      </c>
      <c r="G335" t="s">
        <v>4764</v>
      </c>
      <c r="I335" t="s">
        <v>312</v>
      </c>
      <c r="J335" t="s">
        <v>313</v>
      </c>
      <c r="K335" t="s">
        <v>4765</v>
      </c>
      <c r="L335" s="2">
        <v>39094</v>
      </c>
      <c r="O335" t="s">
        <v>67</v>
      </c>
      <c r="P335" t="s">
        <v>315</v>
      </c>
      <c r="Q335" t="s">
        <v>4766</v>
      </c>
      <c r="R335" s="2">
        <v>38362</v>
      </c>
      <c r="S335" s="2">
        <v>39093</v>
      </c>
      <c r="V335" s="2">
        <v>37387</v>
      </c>
      <c r="W335" s="2">
        <v>38007</v>
      </c>
      <c r="X335" t="s">
        <v>51</v>
      </c>
    </row>
    <row r="336" spans="1:25" x14ac:dyDescent="0.2">
      <c r="A336" t="s">
        <v>4767</v>
      </c>
      <c r="B336" t="s">
        <v>193</v>
      </c>
      <c r="D336" t="s">
        <v>1101</v>
      </c>
      <c r="E336" t="s">
        <v>1107</v>
      </c>
      <c r="G336" t="s">
        <v>4768</v>
      </c>
      <c r="I336" t="s">
        <v>1108</v>
      </c>
      <c r="J336" t="s">
        <v>171</v>
      </c>
      <c r="K336" t="s">
        <v>4769</v>
      </c>
      <c r="L336" s="2">
        <v>44197</v>
      </c>
      <c r="O336" t="s">
        <v>67</v>
      </c>
      <c r="P336" t="s">
        <v>1109</v>
      </c>
      <c r="Q336" t="s">
        <v>4770</v>
      </c>
      <c r="R336" s="2">
        <v>43469</v>
      </c>
      <c r="S336" s="2">
        <v>43842</v>
      </c>
      <c r="T336" t="s">
        <v>3460</v>
      </c>
      <c r="V336" s="2">
        <v>39238</v>
      </c>
      <c r="W336" s="2">
        <v>39882</v>
      </c>
      <c r="X336" t="s">
        <v>51</v>
      </c>
    </row>
    <row r="337" spans="1:24" x14ac:dyDescent="0.2">
      <c r="A337" t="s">
        <v>4771</v>
      </c>
      <c r="B337" t="s">
        <v>193</v>
      </c>
      <c r="D337" t="s">
        <v>2992</v>
      </c>
      <c r="I337" t="s">
        <v>2995</v>
      </c>
      <c r="J337" t="s">
        <v>4772</v>
      </c>
      <c r="K337" t="s">
        <v>3594</v>
      </c>
      <c r="L337" s="2">
        <v>43840</v>
      </c>
      <c r="N337" t="s">
        <v>4773</v>
      </c>
      <c r="P337" t="s">
        <v>4774</v>
      </c>
      <c r="Q337" t="s">
        <v>4775</v>
      </c>
      <c r="R337" s="2">
        <v>43112</v>
      </c>
      <c r="S337" s="2">
        <v>44197</v>
      </c>
      <c r="V337" s="2">
        <v>35104</v>
      </c>
      <c r="W337" s="2">
        <v>35394</v>
      </c>
      <c r="X337" t="s">
        <v>51</v>
      </c>
    </row>
    <row r="338" spans="1:24" x14ac:dyDescent="0.2">
      <c r="A338" t="s">
        <v>4776</v>
      </c>
      <c r="B338" t="s">
        <v>898</v>
      </c>
      <c r="D338" t="s">
        <v>897</v>
      </c>
      <c r="E338" t="s">
        <v>899</v>
      </c>
      <c r="F338" t="s">
        <v>900</v>
      </c>
      <c r="G338" t="s">
        <v>4777</v>
      </c>
      <c r="I338" t="s">
        <v>901</v>
      </c>
      <c r="J338" t="s">
        <v>902</v>
      </c>
      <c r="K338" t="s">
        <v>4778</v>
      </c>
      <c r="L338" s="2">
        <v>42007</v>
      </c>
      <c r="O338" t="s">
        <v>156</v>
      </c>
      <c r="P338" t="s">
        <v>171</v>
      </c>
      <c r="Q338" t="s">
        <v>64</v>
      </c>
      <c r="R338" s="2">
        <v>41646</v>
      </c>
      <c r="S338" s="2">
        <v>42010</v>
      </c>
      <c r="U338" t="s">
        <v>67</v>
      </c>
      <c r="V338" s="2">
        <v>36280</v>
      </c>
      <c r="W338" s="2">
        <v>37649</v>
      </c>
      <c r="X338" t="s">
        <v>51</v>
      </c>
    </row>
    <row r="339" spans="1:24" x14ac:dyDescent="0.2">
      <c r="A339" t="s">
        <v>4779</v>
      </c>
      <c r="B339" t="s">
        <v>1193</v>
      </c>
      <c r="D339" t="s">
        <v>1192</v>
      </c>
      <c r="E339" t="s">
        <v>1194</v>
      </c>
      <c r="F339" t="s">
        <v>1195</v>
      </c>
      <c r="G339" t="s">
        <v>4780</v>
      </c>
      <c r="I339" t="s">
        <v>1196</v>
      </c>
      <c r="J339" t="s">
        <v>368</v>
      </c>
      <c r="K339" t="s">
        <v>3501</v>
      </c>
      <c r="L339" s="2">
        <v>44570</v>
      </c>
      <c r="P339" t="s">
        <v>171</v>
      </c>
      <c r="Q339" t="s">
        <v>3901</v>
      </c>
      <c r="R339" s="2">
        <v>44197</v>
      </c>
      <c r="S339" s="2">
        <v>44570</v>
      </c>
      <c r="U339" t="s">
        <v>67</v>
      </c>
      <c r="V339" s="2">
        <v>43255</v>
      </c>
      <c r="W339" s="2">
        <v>43830</v>
      </c>
      <c r="X339" t="s">
        <v>51</v>
      </c>
    </row>
    <row r="340" spans="1:24" x14ac:dyDescent="0.2">
      <c r="A340" t="s">
        <v>4781</v>
      </c>
      <c r="B340" t="s">
        <v>1193</v>
      </c>
      <c r="D340" t="s">
        <v>1467</v>
      </c>
      <c r="I340" t="s">
        <v>1469</v>
      </c>
      <c r="J340" t="s">
        <v>4782</v>
      </c>
      <c r="K340" t="s">
        <v>4783</v>
      </c>
      <c r="L340" s="2">
        <v>44204</v>
      </c>
      <c r="O340" t="s">
        <v>402</v>
      </c>
      <c r="P340" t="s">
        <v>1447</v>
      </c>
      <c r="Q340" t="s">
        <v>4784</v>
      </c>
      <c r="R340" s="2">
        <v>43831</v>
      </c>
      <c r="S340" s="2">
        <v>44204</v>
      </c>
      <c r="T340" t="s">
        <v>3460</v>
      </c>
      <c r="V340" s="2">
        <v>42513</v>
      </c>
      <c r="W340" s="2">
        <v>42780</v>
      </c>
      <c r="X340" t="s">
        <v>51</v>
      </c>
    </row>
    <row r="341" spans="1:24" x14ac:dyDescent="0.2">
      <c r="A341" t="s">
        <v>4785</v>
      </c>
      <c r="B341" t="s">
        <v>2274</v>
      </c>
      <c r="D341" t="s">
        <v>2273</v>
      </c>
      <c r="I341" t="s">
        <v>2277</v>
      </c>
      <c r="J341" t="s">
        <v>4786</v>
      </c>
      <c r="K341" t="s">
        <v>4787</v>
      </c>
      <c r="N341" t="s">
        <v>3460</v>
      </c>
      <c r="P341" t="s">
        <v>1044</v>
      </c>
      <c r="Q341" t="s">
        <v>4788</v>
      </c>
      <c r="R341" s="2">
        <v>43466</v>
      </c>
      <c r="S341" s="2">
        <v>44197</v>
      </c>
      <c r="T341" t="s">
        <v>3460</v>
      </c>
      <c r="X341" t="s">
        <v>51</v>
      </c>
    </row>
    <row r="342" spans="1:24" x14ac:dyDescent="0.2">
      <c r="A342" t="s">
        <v>4789</v>
      </c>
      <c r="B342" t="s">
        <v>1452</v>
      </c>
      <c r="D342" t="s">
        <v>1451</v>
      </c>
      <c r="I342" t="s">
        <v>1454</v>
      </c>
      <c r="J342" t="s">
        <v>4266</v>
      </c>
      <c r="K342" t="s">
        <v>212</v>
      </c>
      <c r="L342" s="2">
        <v>44927</v>
      </c>
      <c r="N342" t="s">
        <v>3494</v>
      </c>
      <c r="O342" t="s">
        <v>67</v>
      </c>
      <c r="P342" t="s">
        <v>4790</v>
      </c>
      <c r="Q342" t="s">
        <v>4791</v>
      </c>
      <c r="R342" s="2">
        <v>43477</v>
      </c>
      <c r="V342" s="2">
        <v>43480</v>
      </c>
      <c r="W342" s="2">
        <v>44772</v>
      </c>
      <c r="X342" t="s">
        <v>453</v>
      </c>
    </row>
    <row r="343" spans="1:24" x14ac:dyDescent="0.2">
      <c r="A343" t="s">
        <v>4792</v>
      </c>
      <c r="B343" t="s">
        <v>548</v>
      </c>
      <c r="D343" t="s">
        <v>547</v>
      </c>
      <c r="E343" t="s">
        <v>4793</v>
      </c>
      <c r="I343" t="s">
        <v>550</v>
      </c>
      <c r="J343" t="s">
        <v>4794</v>
      </c>
      <c r="K343" t="s">
        <v>4795</v>
      </c>
      <c r="L343" s="2">
        <v>44200</v>
      </c>
      <c r="M343" s="2">
        <v>44571</v>
      </c>
      <c r="O343" t="s">
        <v>214</v>
      </c>
      <c r="P343" t="s">
        <v>551</v>
      </c>
      <c r="Q343" t="s">
        <v>4796</v>
      </c>
      <c r="R343" s="2">
        <v>43476</v>
      </c>
      <c r="S343" s="2">
        <v>43834</v>
      </c>
      <c r="T343" t="s">
        <v>3460</v>
      </c>
      <c r="U343" t="s">
        <v>156</v>
      </c>
      <c r="V343" s="2">
        <v>42886</v>
      </c>
      <c r="W343" s="2">
        <v>43774</v>
      </c>
      <c r="X343" t="s">
        <v>51</v>
      </c>
    </row>
    <row r="344" spans="1:24" x14ac:dyDescent="0.2">
      <c r="A344" t="s">
        <v>4797</v>
      </c>
      <c r="B344" t="s">
        <v>1650</v>
      </c>
      <c r="D344" t="s">
        <v>1649</v>
      </c>
      <c r="E344" t="s">
        <v>1651</v>
      </c>
      <c r="I344" t="s">
        <v>1652</v>
      </c>
      <c r="J344" t="s">
        <v>4798</v>
      </c>
      <c r="K344" t="s">
        <v>3655</v>
      </c>
      <c r="L344" s="2">
        <v>43836</v>
      </c>
      <c r="N344" t="s">
        <v>3460</v>
      </c>
      <c r="O344" t="s">
        <v>602</v>
      </c>
      <c r="P344" t="s">
        <v>1654</v>
      </c>
      <c r="Q344" t="s">
        <v>3589</v>
      </c>
      <c r="R344" s="2">
        <v>41651</v>
      </c>
      <c r="S344" s="2">
        <v>43836</v>
      </c>
      <c r="T344" t="s">
        <v>3460</v>
      </c>
      <c r="V344" s="2">
        <v>32464</v>
      </c>
      <c r="W344" s="2">
        <v>33238</v>
      </c>
      <c r="X344" t="s">
        <v>51</v>
      </c>
    </row>
    <row r="345" spans="1:24" x14ac:dyDescent="0.2">
      <c r="A345" t="s">
        <v>4799</v>
      </c>
      <c r="B345" t="s">
        <v>379</v>
      </c>
      <c r="D345" t="s">
        <v>378</v>
      </c>
      <c r="E345" t="s">
        <v>380</v>
      </c>
      <c r="F345" t="s">
        <v>381</v>
      </c>
      <c r="G345" t="s">
        <v>4800</v>
      </c>
      <c r="I345" t="s">
        <v>382</v>
      </c>
      <c r="J345" t="s">
        <v>4801</v>
      </c>
      <c r="K345" t="s">
        <v>2355</v>
      </c>
      <c r="L345" s="2">
        <v>44202</v>
      </c>
      <c r="M345" s="2">
        <v>44566</v>
      </c>
      <c r="N345" t="s">
        <v>4802</v>
      </c>
      <c r="P345" t="s">
        <v>385</v>
      </c>
      <c r="Q345" t="s">
        <v>4803</v>
      </c>
      <c r="R345" s="2">
        <v>43832</v>
      </c>
      <c r="S345" s="2">
        <v>44201</v>
      </c>
      <c r="V345" s="2">
        <v>39476</v>
      </c>
      <c r="X345" t="s">
        <v>51</v>
      </c>
    </row>
    <row r="346" spans="1:24" x14ac:dyDescent="0.2">
      <c r="A346" t="s">
        <v>4804</v>
      </c>
      <c r="B346" t="s">
        <v>379</v>
      </c>
      <c r="D346" t="s">
        <v>913</v>
      </c>
      <c r="E346" t="s">
        <v>914</v>
      </c>
      <c r="I346" t="s">
        <v>915</v>
      </c>
      <c r="J346" t="s">
        <v>4805</v>
      </c>
      <c r="K346" t="s">
        <v>3600</v>
      </c>
      <c r="L346" s="2">
        <v>42741</v>
      </c>
      <c r="N346" t="s">
        <v>3460</v>
      </c>
      <c r="O346" t="s">
        <v>67</v>
      </c>
      <c r="P346" t="s">
        <v>4806</v>
      </c>
      <c r="Q346" t="s">
        <v>4807</v>
      </c>
      <c r="R346" s="2">
        <v>36892</v>
      </c>
      <c r="V346" s="2">
        <v>33240</v>
      </c>
      <c r="W346" s="2">
        <v>33602</v>
      </c>
      <c r="X346" t="s">
        <v>51</v>
      </c>
    </row>
    <row r="347" spans="1:24" x14ac:dyDescent="0.2">
      <c r="A347" t="s">
        <v>4808</v>
      </c>
      <c r="B347" t="s">
        <v>379</v>
      </c>
      <c r="D347" t="s">
        <v>2128</v>
      </c>
      <c r="I347" t="s">
        <v>2129</v>
      </c>
      <c r="J347" t="s">
        <v>4809</v>
      </c>
      <c r="K347" t="s">
        <v>4810</v>
      </c>
      <c r="P347" t="s">
        <v>230</v>
      </c>
      <c r="Q347" t="s">
        <v>4811</v>
      </c>
      <c r="R347" t="s">
        <v>4812</v>
      </c>
      <c r="S347" s="2">
        <v>43831</v>
      </c>
      <c r="U347" t="s">
        <v>156</v>
      </c>
      <c r="V347" s="2">
        <v>32596</v>
      </c>
      <c r="W347" s="2">
        <v>33238</v>
      </c>
      <c r="X347" t="s">
        <v>51</v>
      </c>
    </row>
    <row r="348" spans="1:24" x14ac:dyDescent="0.2">
      <c r="A348" t="s">
        <v>4813</v>
      </c>
      <c r="B348" t="s">
        <v>379</v>
      </c>
      <c r="D348" t="s">
        <v>2714</v>
      </c>
      <c r="E348" t="s">
        <v>2715</v>
      </c>
      <c r="G348" t="s">
        <v>4814</v>
      </c>
      <c r="I348" t="s">
        <v>2716</v>
      </c>
      <c r="J348" t="s">
        <v>4815</v>
      </c>
      <c r="K348" t="s">
        <v>4816</v>
      </c>
      <c r="L348" s="2">
        <v>43841</v>
      </c>
      <c r="M348" t="s">
        <v>4817</v>
      </c>
      <c r="N348" t="s">
        <v>3460</v>
      </c>
      <c r="P348" t="s">
        <v>4818</v>
      </c>
      <c r="Q348" t="s">
        <v>3461</v>
      </c>
      <c r="R348" s="2">
        <v>43841</v>
      </c>
      <c r="S348" s="2">
        <v>44199</v>
      </c>
      <c r="T348" t="s">
        <v>3494</v>
      </c>
      <c r="V348" s="2">
        <v>43480</v>
      </c>
      <c r="X348" t="s">
        <v>51</v>
      </c>
    </row>
    <row r="349" spans="1:24" x14ac:dyDescent="0.2">
      <c r="A349" t="s">
        <v>4819</v>
      </c>
      <c r="B349" t="s">
        <v>379</v>
      </c>
      <c r="D349" t="s">
        <v>2740</v>
      </c>
      <c r="I349" t="s">
        <v>2741</v>
      </c>
      <c r="J349" t="s">
        <v>4820</v>
      </c>
      <c r="K349" t="s">
        <v>4821</v>
      </c>
      <c r="L349" s="2">
        <v>39091</v>
      </c>
      <c r="N349" t="s">
        <v>4645</v>
      </c>
      <c r="O349" t="s">
        <v>402</v>
      </c>
      <c r="P349" t="s">
        <v>2743</v>
      </c>
      <c r="Q349" t="s">
        <v>4822</v>
      </c>
      <c r="R349" t="s">
        <v>4823</v>
      </c>
      <c r="S349" s="2">
        <v>43106</v>
      </c>
      <c r="T349" t="s">
        <v>4645</v>
      </c>
      <c r="V349" s="2">
        <v>33000</v>
      </c>
      <c r="W349" s="2">
        <v>34233</v>
      </c>
      <c r="X349" t="s">
        <v>51</v>
      </c>
    </row>
    <row r="350" spans="1:24" x14ac:dyDescent="0.2">
      <c r="A350" t="s">
        <v>4824</v>
      </c>
      <c r="B350" t="s">
        <v>379</v>
      </c>
      <c r="D350" t="s">
        <v>3367</v>
      </c>
      <c r="E350" t="s">
        <v>3368</v>
      </c>
      <c r="F350" t="s">
        <v>3369</v>
      </c>
      <c r="G350" t="s">
        <v>4825</v>
      </c>
      <c r="I350" t="s">
        <v>3370</v>
      </c>
      <c r="J350" t="s">
        <v>4826</v>
      </c>
      <c r="K350" t="s">
        <v>4827</v>
      </c>
      <c r="L350" s="2">
        <v>43476</v>
      </c>
      <c r="M350" s="2">
        <v>44205</v>
      </c>
      <c r="O350" t="s">
        <v>67</v>
      </c>
      <c r="P350" t="s">
        <v>4828</v>
      </c>
      <c r="Q350" t="s">
        <v>3704</v>
      </c>
      <c r="R350" s="2">
        <v>43107</v>
      </c>
      <c r="S350" s="2">
        <v>43475</v>
      </c>
      <c r="T350" t="s">
        <v>4645</v>
      </c>
      <c r="V350" s="2">
        <v>40239</v>
      </c>
      <c r="W350" s="2">
        <v>40568</v>
      </c>
      <c r="X350" t="s">
        <v>51</v>
      </c>
    </row>
    <row r="351" spans="1:24" x14ac:dyDescent="0.2">
      <c r="A351" t="s">
        <v>4829</v>
      </c>
      <c r="B351" t="s">
        <v>3009</v>
      </c>
      <c r="D351" t="s">
        <v>3008</v>
      </c>
      <c r="E351" t="s">
        <v>3010</v>
      </c>
      <c r="F351" t="s">
        <v>3011</v>
      </c>
      <c r="G351" t="s">
        <v>4378</v>
      </c>
      <c r="I351" t="s">
        <v>3012</v>
      </c>
      <c r="J351" t="s">
        <v>3013</v>
      </c>
      <c r="K351" t="s">
        <v>4830</v>
      </c>
      <c r="L351" s="2">
        <v>39085</v>
      </c>
      <c r="N351" t="s">
        <v>4831</v>
      </c>
      <c r="O351" t="s">
        <v>402</v>
      </c>
      <c r="P351" t="s">
        <v>3014</v>
      </c>
      <c r="Q351" t="s">
        <v>3493</v>
      </c>
      <c r="R351" s="2">
        <v>42371</v>
      </c>
      <c r="S351" s="2">
        <v>43466</v>
      </c>
      <c r="T351" t="s">
        <v>4831</v>
      </c>
      <c r="V351" s="2">
        <v>36655</v>
      </c>
      <c r="W351" s="2">
        <v>37649</v>
      </c>
      <c r="X351" t="s">
        <v>51</v>
      </c>
    </row>
    <row r="352" spans="1:24" x14ac:dyDescent="0.2">
      <c r="A352" t="s">
        <v>4832</v>
      </c>
      <c r="B352" t="s">
        <v>93</v>
      </c>
      <c r="D352" t="s">
        <v>92</v>
      </c>
      <c r="E352" t="s">
        <v>4833</v>
      </c>
      <c r="F352" t="s">
        <v>94</v>
      </c>
      <c r="I352" t="s">
        <v>95</v>
      </c>
      <c r="J352" t="s">
        <v>101</v>
      </c>
      <c r="K352" t="s">
        <v>4834</v>
      </c>
      <c r="L352" s="2">
        <v>44569</v>
      </c>
      <c r="P352" t="s">
        <v>4835</v>
      </c>
      <c r="Q352" t="s">
        <v>4836</v>
      </c>
      <c r="R352" s="2">
        <v>44203</v>
      </c>
      <c r="S352" s="2">
        <v>44205</v>
      </c>
      <c r="T352" t="s">
        <v>3460</v>
      </c>
      <c r="V352" s="2">
        <v>43255</v>
      </c>
      <c r="W352" s="2">
        <v>44196</v>
      </c>
      <c r="X352" t="s">
        <v>51</v>
      </c>
    </row>
    <row r="353" spans="1:24" x14ac:dyDescent="0.2">
      <c r="A353" t="s">
        <v>4837</v>
      </c>
      <c r="B353" t="s">
        <v>93</v>
      </c>
      <c r="D353" t="s">
        <v>806</v>
      </c>
      <c r="E353" t="s">
        <v>807</v>
      </c>
      <c r="I353" t="s">
        <v>808</v>
      </c>
      <c r="J353" t="s">
        <v>809</v>
      </c>
      <c r="K353" t="s">
        <v>4838</v>
      </c>
      <c r="L353" s="2">
        <v>43106</v>
      </c>
      <c r="N353" t="s">
        <v>3460</v>
      </c>
      <c r="O353" t="s">
        <v>214</v>
      </c>
      <c r="P353" t="s">
        <v>810</v>
      </c>
      <c r="Q353" t="s">
        <v>4032</v>
      </c>
      <c r="R353" s="2">
        <v>44199</v>
      </c>
      <c r="T353" t="s">
        <v>3460</v>
      </c>
      <c r="V353" s="2">
        <v>41058</v>
      </c>
      <c r="W353" s="2">
        <v>41623</v>
      </c>
      <c r="X353" t="s">
        <v>51</v>
      </c>
    </row>
    <row r="354" spans="1:24" x14ac:dyDescent="0.2">
      <c r="A354" t="s">
        <v>4839</v>
      </c>
      <c r="B354" t="s">
        <v>93</v>
      </c>
      <c r="D354" t="s">
        <v>866</v>
      </c>
      <c r="E354" t="s">
        <v>867</v>
      </c>
      <c r="I354" t="s">
        <v>868</v>
      </c>
      <c r="J354" t="s">
        <v>869</v>
      </c>
      <c r="K354" t="s">
        <v>4840</v>
      </c>
      <c r="L354" s="2">
        <v>39455</v>
      </c>
      <c r="P354" t="s">
        <v>870</v>
      </c>
      <c r="Q354" t="s">
        <v>4841</v>
      </c>
      <c r="R354" s="2">
        <v>39091</v>
      </c>
      <c r="S354" s="2">
        <v>39454</v>
      </c>
      <c r="T354" t="s">
        <v>3460</v>
      </c>
      <c r="V354" s="2">
        <v>36280</v>
      </c>
      <c r="W354" s="2">
        <v>37649</v>
      </c>
      <c r="X354" t="s">
        <v>453</v>
      </c>
    </row>
    <row r="355" spans="1:24" x14ac:dyDescent="0.2">
      <c r="A355" t="s">
        <v>4842</v>
      </c>
      <c r="B355" t="s">
        <v>93</v>
      </c>
      <c r="D355" t="s">
        <v>1537</v>
      </c>
      <c r="E355" t="s">
        <v>1538</v>
      </c>
      <c r="I355" t="s">
        <v>1539</v>
      </c>
      <c r="J355" t="s">
        <v>551</v>
      </c>
      <c r="K355" t="s">
        <v>4843</v>
      </c>
      <c r="L355" s="2">
        <v>41644</v>
      </c>
      <c r="O355" t="s">
        <v>156</v>
      </c>
      <c r="P355" t="s">
        <v>573</v>
      </c>
      <c r="Q355" t="s">
        <v>4844</v>
      </c>
      <c r="R355" s="2">
        <v>40185</v>
      </c>
      <c r="S355" s="2">
        <v>41643</v>
      </c>
      <c r="T355" t="s">
        <v>3460</v>
      </c>
      <c r="U355" t="s">
        <v>67</v>
      </c>
      <c r="V355" s="2">
        <v>38732</v>
      </c>
      <c r="W355" s="2">
        <v>39406</v>
      </c>
      <c r="X355" t="s">
        <v>51</v>
      </c>
    </row>
    <row r="356" spans="1:24" x14ac:dyDescent="0.2">
      <c r="A356" t="s">
        <v>4845</v>
      </c>
      <c r="B356" t="s">
        <v>93</v>
      </c>
      <c r="D356" t="s">
        <v>1799</v>
      </c>
      <c r="E356" t="s">
        <v>1800</v>
      </c>
      <c r="I356" t="s">
        <v>1801</v>
      </c>
      <c r="J356" t="s">
        <v>1802</v>
      </c>
      <c r="K356" t="s">
        <v>4846</v>
      </c>
      <c r="L356" s="2">
        <v>40549</v>
      </c>
      <c r="N356" t="s">
        <v>1803</v>
      </c>
      <c r="O356" t="s">
        <v>402</v>
      </c>
      <c r="P356" t="s">
        <v>1804</v>
      </c>
      <c r="Q356" t="s">
        <v>4847</v>
      </c>
      <c r="R356" s="2">
        <v>44570</v>
      </c>
      <c r="T356" t="s">
        <v>1805</v>
      </c>
      <c r="V356" s="2">
        <v>36280</v>
      </c>
      <c r="W356" s="2">
        <v>37298</v>
      </c>
      <c r="X356" t="s">
        <v>51</v>
      </c>
    </row>
    <row r="357" spans="1:24" x14ac:dyDescent="0.2">
      <c r="A357" t="s">
        <v>4848</v>
      </c>
      <c r="B357" t="s">
        <v>93</v>
      </c>
      <c r="D357" t="s">
        <v>2266</v>
      </c>
      <c r="E357" t="s">
        <v>497</v>
      </c>
      <c r="X357" t="s">
        <v>51</v>
      </c>
    </row>
    <row r="358" spans="1:24" x14ac:dyDescent="0.2">
      <c r="A358" t="s">
        <v>4849</v>
      </c>
      <c r="B358" t="s">
        <v>93</v>
      </c>
      <c r="D358" t="s">
        <v>2412</v>
      </c>
      <c r="E358" t="s">
        <v>4850</v>
      </c>
      <c r="F358" t="s">
        <v>4851</v>
      </c>
      <c r="G358" t="s">
        <v>4852</v>
      </c>
      <c r="I358" t="s">
        <v>2415</v>
      </c>
      <c r="J358" t="s">
        <v>4853</v>
      </c>
      <c r="K358" t="s">
        <v>4854</v>
      </c>
      <c r="L358" s="2">
        <v>43831</v>
      </c>
      <c r="N358" t="s">
        <v>3460</v>
      </c>
      <c r="P358" t="s">
        <v>4855</v>
      </c>
      <c r="Q358" t="s">
        <v>3589</v>
      </c>
      <c r="R358" s="2">
        <v>42380</v>
      </c>
      <c r="S358" s="2">
        <v>43831</v>
      </c>
      <c r="T358" t="s">
        <v>3460</v>
      </c>
      <c r="V358" s="2">
        <v>37025</v>
      </c>
      <c r="W358" s="2">
        <v>37649</v>
      </c>
      <c r="X358" t="s">
        <v>51</v>
      </c>
    </row>
    <row r="359" spans="1:24" x14ac:dyDescent="0.2">
      <c r="A359" t="s">
        <v>4856</v>
      </c>
      <c r="B359" t="s">
        <v>93</v>
      </c>
      <c r="D359" t="s">
        <v>3304</v>
      </c>
      <c r="E359" t="s">
        <v>3305</v>
      </c>
      <c r="F359" t="s">
        <v>3306</v>
      </c>
      <c r="G359" t="s">
        <v>4857</v>
      </c>
      <c r="I359" t="s">
        <v>3307</v>
      </c>
      <c r="J359" t="s">
        <v>4858</v>
      </c>
      <c r="K359" t="s">
        <v>3833</v>
      </c>
      <c r="L359" s="2">
        <v>44568</v>
      </c>
      <c r="N359" t="s">
        <v>4859</v>
      </c>
      <c r="P359" t="s">
        <v>3309</v>
      </c>
      <c r="Q359" t="s">
        <v>4860</v>
      </c>
      <c r="R359" s="2">
        <v>44203</v>
      </c>
      <c r="S359" s="2">
        <v>44205</v>
      </c>
      <c r="T359" t="s">
        <v>4679</v>
      </c>
      <c r="X359" t="s">
        <v>51</v>
      </c>
    </row>
    <row r="360" spans="1:24" x14ac:dyDescent="0.2">
      <c r="A360" t="s">
        <v>4861</v>
      </c>
      <c r="B360" t="s">
        <v>1323</v>
      </c>
      <c r="D360" t="s">
        <v>1322</v>
      </c>
      <c r="G360" t="s">
        <v>4857</v>
      </c>
      <c r="I360" t="s">
        <v>4862</v>
      </c>
      <c r="V360" s="2">
        <v>33240</v>
      </c>
      <c r="W360" s="2">
        <v>34233</v>
      </c>
      <c r="X360" t="s">
        <v>51</v>
      </c>
    </row>
    <row r="361" spans="1:24" x14ac:dyDescent="0.2">
      <c r="A361" t="s">
        <v>4863</v>
      </c>
      <c r="B361" t="s">
        <v>1212</v>
      </c>
      <c r="D361" t="s">
        <v>1211</v>
      </c>
      <c r="E361" t="s">
        <v>1213</v>
      </c>
      <c r="G361" t="s">
        <v>4864</v>
      </c>
      <c r="I361" t="s">
        <v>1214</v>
      </c>
      <c r="J361" t="s">
        <v>1215</v>
      </c>
      <c r="K361" t="s">
        <v>4865</v>
      </c>
      <c r="L361" s="2">
        <v>43466</v>
      </c>
      <c r="O361" t="s">
        <v>67</v>
      </c>
      <c r="P361" t="s">
        <v>1215</v>
      </c>
      <c r="Q361" t="s">
        <v>3555</v>
      </c>
      <c r="R361" s="2">
        <v>43106</v>
      </c>
      <c r="S361" s="2">
        <v>43109</v>
      </c>
      <c r="T361" t="s">
        <v>3460</v>
      </c>
      <c r="U361" t="s">
        <v>67</v>
      </c>
      <c r="V361" s="2">
        <v>42380</v>
      </c>
      <c r="W361" s="2">
        <v>43367</v>
      </c>
      <c r="X361" t="s">
        <v>51</v>
      </c>
    </row>
    <row r="362" spans="1:24" x14ac:dyDescent="0.2">
      <c r="A362" t="s">
        <v>4866</v>
      </c>
      <c r="B362" t="s">
        <v>655</v>
      </c>
      <c r="D362" t="s">
        <v>1375</v>
      </c>
      <c r="E362" t="s">
        <v>1376</v>
      </c>
      <c r="G362" t="s">
        <v>4867</v>
      </c>
      <c r="I362" t="s">
        <v>1377</v>
      </c>
      <c r="J362" t="s">
        <v>4868</v>
      </c>
      <c r="K362" t="s">
        <v>4869</v>
      </c>
      <c r="L362" s="2">
        <v>44203</v>
      </c>
      <c r="N362" t="s">
        <v>3460</v>
      </c>
      <c r="P362" t="s">
        <v>2322</v>
      </c>
      <c r="Q362" t="s">
        <v>4870</v>
      </c>
      <c r="R362" s="2">
        <v>40917</v>
      </c>
      <c r="S362" s="2">
        <v>44202</v>
      </c>
      <c r="T362" t="s">
        <v>3460</v>
      </c>
      <c r="V362" s="2">
        <v>37278</v>
      </c>
      <c r="W362" s="2">
        <v>37649</v>
      </c>
      <c r="X362" t="s">
        <v>68</v>
      </c>
    </row>
    <row r="363" spans="1:24" x14ac:dyDescent="0.2">
      <c r="A363" t="s">
        <v>4871</v>
      </c>
      <c r="B363" t="s">
        <v>292</v>
      </c>
      <c r="D363" t="s">
        <v>291</v>
      </c>
      <c r="V363" s="2">
        <v>34074</v>
      </c>
      <c r="W363" s="2">
        <v>34233</v>
      </c>
      <c r="X363" t="s">
        <v>51</v>
      </c>
    </row>
    <row r="364" spans="1:24" x14ac:dyDescent="0.2">
      <c r="A364" t="s">
        <v>4872</v>
      </c>
      <c r="B364" t="s">
        <v>948</v>
      </c>
      <c r="D364" t="s">
        <v>947</v>
      </c>
      <c r="E364" t="s">
        <v>949</v>
      </c>
      <c r="I364" t="s">
        <v>950</v>
      </c>
      <c r="J364" t="s">
        <v>4873</v>
      </c>
      <c r="K364" t="s">
        <v>4874</v>
      </c>
      <c r="L364" s="2">
        <v>42742</v>
      </c>
      <c r="N364" t="s">
        <v>4875</v>
      </c>
      <c r="P364" t="s">
        <v>4876</v>
      </c>
      <c r="Q364" t="s">
        <v>3773</v>
      </c>
      <c r="R364" s="2">
        <v>42377</v>
      </c>
      <c r="S364" s="2">
        <v>42742</v>
      </c>
      <c r="T364" t="s">
        <v>4877</v>
      </c>
      <c r="V364" s="2">
        <v>41310</v>
      </c>
      <c r="W364" s="2">
        <v>41666</v>
      </c>
      <c r="X364" t="s">
        <v>51</v>
      </c>
    </row>
    <row r="365" spans="1:24" x14ac:dyDescent="0.2">
      <c r="A365" t="s">
        <v>4878</v>
      </c>
      <c r="B365" t="s">
        <v>2153</v>
      </c>
      <c r="D365" t="s">
        <v>2152</v>
      </c>
      <c r="E365" t="s">
        <v>2154</v>
      </c>
      <c r="I365" t="s">
        <v>4879</v>
      </c>
      <c r="J365" t="s">
        <v>2157</v>
      </c>
      <c r="K365" t="s">
        <v>4880</v>
      </c>
      <c r="L365" s="2">
        <v>44927</v>
      </c>
      <c r="P365" t="s">
        <v>4881</v>
      </c>
      <c r="Q365" t="s">
        <v>3655</v>
      </c>
      <c r="R365" s="2">
        <v>44198</v>
      </c>
      <c r="V365" s="2">
        <v>40113</v>
      </c>
      <c r="W365" s="2">
        <v>40513</v>
      </c>
      <c r="X365" t="s">
        <v>51</v>
      </c>
    </row>
    <row r="366" spans="1:24" x14ac:dyDescent="0.2">
      <c r="A366" t="s">
        <v>4882</v>
      </c>
      <c r="B366" t="s">
        <v>167</v>
      </c>
      <c r="D366" t="s">
        <v>166</v>
      </c>
      <c r="E366" t="s">
        <v>168</v>
      </c>
      <c r="I366" t="s">
        <v>169</v>
      </c>
      <c r="K366" t="s">
        <v>3013</v>
      </c>
      <c r="V366" s="2">
        <v>33000</v>
      </c>
      <c r="W366" s="2">
        <v>34233</v>
      </c>
      <c r="X366" t="s">
        <v>51</v>
      </c>
    </row>
    <row r="367" spans="1:24" x14ac:dyDescent="0.2">
      <c r="A367" t="s">
        <v>4883</v>
      </c>
      <c r="B367" t="s">
        <v>348</v>
      </c>
      <c r="D367" t="s">
        <v>389</v>
      </c>
      <c r="E367" t="s">
        <v>396</v>
      </c>
      <c r="I367" t="s">
        <v>397</v>
      </c>
      <c r="J367" t="s">
        <v>398</v>
      </c>
      <c r="K367" t="s">
        <v>4884</v>
      </c>
      <c r="L367" s="2">
        <v>42741</v>
      </c>
      <c r="O367" t="s">
        <v>402</v>
      </c>
      <c r="P367" t="s">
        <v>352</v>
      </c>
      <c r="Q367" t="s">
        <v>4885</v>
      </c>
      <c r="R367" s="2">
        <v>41279</v>
      </c>
      <c r="S367" s="2">
        <v>42740</v>
      </c>
      <c r="T367" t="s">
        <v>4886</v>
      </c>
      <c r="U367" t="s">
        <v>402</v>
      </c>
      <c r="V367" s="2">
        <v>36082</v>
      </c>
      <c r="W367" s="2">
        <v>37298</v>
      </c>
      <c r="X367" t="s">
        <v>51</v>
      </c>
    </row>
    <row r="368" spans="1:24" x14ac:dyDescent="0.2">
      <c r="A368" t="s">
        <v>4887</v>
      </c>
      <c r="B368" t="s">
        <v>348</v>
      </c>
      <c r="D368" t="s">
        <v>411</v>
      </c>
      <c r="I368" t="s">
        <v>414</v>
      </c>
      <c r="J368" t="s">
        <v>415</v>
      </c>
      <c r="K368" t="s">
        <v>4888</v>
      </c>
      <c r="L368" s="2">
        <v>44567</v>
      </c>
      <c r="O368" t="s">
        <v>214</v>
      </c>
      <c r="P368" t="s">
        <v>416</v>
      </c>
      <c r="Q368" t="s">
        <v>4889</v>
      </c>
      <c r="R368" s="2">
        <v>43472</v>
      </c>
      <c r="S368" s="2">
        <v>44208</v>
      </c>
      <c r="T368" t="s">
        <v>3460</v>
      </c>
      <c r="V368" s="2">
        <v>36655</v>
      </c>
      <c r="W368" s="2">
        <v>37298</v>
      </c>
      <c r="X368" t="s">
        <v>51</v>
      </c>
    </row>
    <row r="369" spans="1:24" x14ac:dyDescent="0.2">
      <c r="A369" t="s">
        <v>4890</v>
      </c>
      <c r="B369" t="s">
        <v>348</v>
      </c>
      <c r="D369" t="s">
        <v>529</v>
      </c>
      <c r="E369" t="s">
        <v>530</v>
      </c>
      <c r="G369" t="s">
        <v>4891</v>
      </c>
      <c r="I369" t="s">
        <v>531</v>
      </c>
      <c r="J369" t="s">
        <v>532</v>
      </c>
      <c r="K369" t="s">
        <v>4892</v>
      </c>
      <c r="L369" s="2">
        <v>43111</v>
      </c>
      <c r="O369" t="s">
        <v>402</v>
      </c>
      <c r="P369" t="s">
        <v>533</v>
      </c>
      <c r="Q369" t="s">
        <v>4893</v>
      </c>
      <c r="R369" s="2">
        <v>42375</v>
      </c>
      <c r="S369" s="2">
        <v>43111</v>
      </c>
      <c r="T369" t="s">
        <v>4645</v>
      </c>
      <c r="V369" s="2">
        <v>38475</v>
      </c>
      <c r="X369" t="s">
        <v>51</v>
      </c>
    </row>
    <row r="370" spans="1:24" x14ac:dyDescent="0.2">
      <c r="A370" t="s">
        <v>4894</v>
      </c>
      <c r="B370" t="s">
        <v>348</v>
      </c>
      <c r="D370" t="s">
        <v>1379</v>
      </c>
      <c r="E370" t="s">
        <v>1380</v>
      </c>
      <c r="F370" t="s">
        <v>1381</v>
      </c>
      <c r="G370" t="s">
        <v>4895</v>
      </c>
      <c r="I370" t="s">
        <v>1382</v>
      </c>
      <c r="J370" t="s">
        <v>75</v>
      </c>
      <c r="K370" t="s">
        <v>3820</v>
      </c>
      <c r="L370" s="2">
        <v>44568</v>
      </c>
      <c r="N370" t="s">
        <v>4896</v>
      </c>
      <c r="O370" t="s">
        <v>402</v>
      </c>
      <c r="P370" t="s">
        <v>4897</v>
      </c>
      <c r="Q370" t="s">
        <v>4898</v>
      </c>
      <c r="R370" s="2">
        <v>44562</v>
      </c>
      <c r="S370" s="2">
        <v>44564</v>
      </c>
      <c r="T370" t="s">
        <v>4899</v>
      </c>
      <c r="V370" s="2">
        <v>43843</v>
      </c>
      <c r="X370" t="s">
        <v>51</v>
      </c>
    </row>
    <row r="371" spans="1:24" x14ac:dyDescent="0.2">
      <c r="A371" t="s">
        <v>4900</v>
      </c>
      <c r="B371" t="s">
        <v>348</v>
      </c>
      <c r="D371" t="s">
        <v>1531</v>
      </c>
      <c r="E371" t="s">
        <v>1532</v>
      </c>
      <c r="I371" t="s">
        <v>1533</v>
      </c>
      <c r="J371" t="s">
        <v>748</v>
      </c>
      <c r="K371" t="s">
        <v>4901</v>
      </c>
      <c r="L371" s="2">
        <v>44570</v>
      </c>
      <c r="N371" t="s">
        <v>4902</v>
      </c>
      <c r="O371" t="s">
        <v>602</v>
      </c>
      <c r="P371" t="s">
        <v>1535</v>
      </c>
      <c r="Q371" t="s">
        <v>4903</v>
      </c>
      <c r="R371" s="2">
        <v>43476</v>
      </c>
      <c r="S371" s="2">
        <v>43839</v>
      </c>
      <c r="V371" s="2">
        <v>41310</v>
      </c>
      <c r="W371" s="2">
        <v>42156</v>
      </c>
      <c r="X371" t="s">
        <v>51</v>
      </c>
    </row>
    <row r="372" spans="1:24" x14ac:dyDescent="0.2">
      <c r="A372" t="s">
        <v>4904</v>
      </c>
      <c r="B372" t="s">
        <v>348</v>
      </c>
      <c r="D372" t="s">
        <v>1634</v>
      </c>
      <c r="I372" t="s">
        <v>1635</v>
      </c>
      <c r="J372" t="s">
        <v>1637</v>
      </c>
      <c r="K372" t="s">
        <v>3733</v>
      </c>
      <c r="L372" s="2">
        <v>44206</v>
      </c>
      <c r="N372" t="s">
        <v>4905</v>
      </c>
      <c r="P372" t="s">
        <v>4906</v>
      </c>
      <c r="Q372" t="s">
        <v>4907</v>
      </c>
      <c r="R372" s="2">
        <v>44197</v>
      </c>
      <c r="S372" s="2">
        <v>44206</v>
      </c>
      <c r="T372" t="s">
        <v>4905</v>
      </c>
      <c r="V372" s="2">
        <v>34789</v>
      </c>
      <c r="W372" s="2">
        <v>35323</v>
      </c>
      <c r="X372" t="s">
        <v>51</v>
      </c>
    </row>
    <row r="373" spans="1:24" x14ac:dyDescent="0.2">
      <c r="A373" t="s">
        <v>4908</v>
      </c>
      <c r="B373" t="s">
        <v>348</v>
      </c>
      <c r="D373" t="s">
        <v>1733</v>
      </c>
      <c r="E373" t="s">
        <v>4909</v>
      </c>
      <c r="G373" t="s">
        <v>4910</v>
      </c>
      <c r="I373" t="s">
        <v>1736</v>
      </c>
      <c r="J373" t="s">
        <v>236</v>
      </c>
      <c r="K373" t="s">
        <v>3476</v>
      </c>
      <c r="L373" s="2">
        <v>44562</v>
      </c>
      <c r="N373" t="s">
        <v>3494</v>
      </c>
      <c r="O373" t="s">
        <v>357</v>
      </c>
      <c r="P373" t="s">
        <v>658</v>
      </c>
      <c r="Q373" t="s">
        <v>4911</v>
      </c>
      <c r="R373" s="2">
        <v>44205</v>
      </c>
      <c r="S373" s="2">
        <v>44208</v>
      </c>
      <c r="T373" t="s">
        <v>3460</v>
      </c>
      <c r="U373" t="s">
        <v>357</v>
      </c>
      <c r="V373" s="2">
        <v>34789</v>
      </c>
      <c r="W373" s="2">
        <v>35564</v>
      </c>
      <c r="X373" t="s">
        <v>51</v>
      </c>
    </row>
    <row r="374" spans="1:24" x14ac:dyDescent="0.2">
      <c r="A374" t="s">
        <v>4912</v>
      </c>
      <c r="B374" t="s">
        <v>348</v>
      </c>
      <c r="C374" t="s">
        <v>349</v>
      </c>
      <c r="D374" t="s">
        <v>347</v>
      </c>
      <c r="E374" t="s">
        <v>350</v>
      </c>
      <c r="I374" t="s">
        <v>351</v>
      </c>
      <c r="J374" t="s">
        <v>352</v>
      </c>
      <c r="K374" t="s">
        <v>4913</v>
      </c>
      <c r="L374" s="2">
        <v>44200</v>
      </c>
      <c r="N374" t="s">
        <v>4754</v>
      </c>
      <c r="P374" t="s">
        <v>355</v>
      </c>
      <c r="Q374" t="s">
        <v>4914</v>
      </c>
      <c r="R374" s="2">
        <v>43472</v>
      </c>
      <c r="S374" s="2">
        <v>43474</v>
      </c>
      <c r="U374" t="s">
        <v>357</v>
      </c>
      <c r="V374" s="2">
        <v>42751</v>
      </c>
      <c r="W374" s="2">
        <v>43202</v>
      </c>
      <c r="X374" t="s">
        <v>51</v>
      </c>
    </row>
    <row r="375" spans="1:24" x14ac:dyDescent="0.2">
      <c r="A375" t="s">
        <v>4915</v>
      </c>
      <c r="B375" t="s">
        <v>348</v>
      </c>
      <c r="D375" t="s">
        <v>2268</v>
      </c>
      <c r="E375" t="s">
        <v>2269</v>
      </c>
      <c r="G375" t="s">
        <v>4916</v>
      </c>
      <c r="I375" t="s">
        <v>2270</v>
      </c>
      <c r="J375" t="s">
        <v>2272</v>
      </c>
      <c r="K375" t="s">
        <v>4917</v>
      </c>
      <c r="L375" s="2">
        <v>44198</v>
      </c>
      <c r="N375" t="s">
        <v>4918</v>
      </c>
      <c r="P375" t="s">
        <v>4919</v>
      </c>
      <c r="Q375" t="s">
        <v>4920</v>
      </c>
      <c r="R375" s="2">
        <v>43110</v>
      </c>
      <c r="S375" s="2">
        <v>43841</v>
      </c>
      <c r="T375" t="s">
        <v>4921</v>
      </c>
      <c r="V375" s="2">
        <v>37797</v>
      </c>
      <c r="W375" s="2">
        <v>38860</v>
      </c>
      <c r="X375" t="s">
        <v>51</v>
      </c>
    </row>
    <row r="376" spans="1:24" x14ac:dyDescent="0.2">
      <c r="A376" t="s">
        <v>4922</v>
      </c>
      <c r="B376" t="s">
        <v>348</v>
      </c>
      <c r="D376" t="s">
        <v>2318</v>
      </c>
      <c r="E376" t="s">
        <v>2319</v>
      </c>
      <c r="F376" t="s">
        <v>2320</v>
      </c>
      <c r="G376" t="s">
        <v>4923</v>
      </c>
      <c r="I376" t="s">
        <v>2321</v>
      </c>
      <c r="J376" t="s">
        <v>631</v>
      </c>
      <c r="K376" t="s">
        <v>4924</v>
      </c>
      <c r="L376" s="2">
        <v>44563</v>
      </c>
      <c r="O376" t="s">
        <v>67</v>
      </c>
      <c r="V376" s="2">
        <v>43626</v>
      </c>
      <c r="X376" t="s">
        <v>239</v>
      </c>
    </row>
    <row r="377" spans="1:24" x14ac:dyDescent="0.2">
      <c r="A377" t="s">
        <v>4925</v>
      </c>
      <c r="B377" t="s">
        <v>348</v>
      </c>
      <c r="D377" t="s">
        <v>2585</v>
      </c>
      <c r="E377" t="s">
        <v>2586</v>
      </c>
      <c r="I377" t="s">
        <v>2587</v>
      </c>
      <c r="J377" t="s">
        <v>4926</v>
      </c>
      <c r="K377" t="s">
        <v>4927</v>
      </c>
      <c r="L377" s="2">
        <v>44208</v>
      </c>
      <c r="O377" t="s">
        <v>1087</v>
      </c>
      <c r="P377" t="s">
        <v>4928</v>
      </c>
      <c r="Q377" t="s">
        <v>4927</v>
      </c>
      <c r="R377" s="2">
        <v>43111</v>
      </c>
      <c r="T377" t="s">
        <v>3460</v>
      </c>
      <c r="V377" s="2">
        <v>33000</v>
      </c>
      <c r="W377" s="2">
        <v>34233</v>
      </c>
      <c r="X377" t="s">
        <v>51</v>
      </c>
    </row>
    <row r="378" spans="1:24" x14ac:dyDescent="0.2">
      <c r="A378" t="s">
        <v>4929</v>
      </c>
      <c r="B378" t="s">
        <v>348</v>
      </c>
      <c r="D378" t="s">
        <v>2891</v>
      </c>
      <c r="E378" t="s">
        <v>2892</v>
      </c>
      <c r="I378" t="s">
        <v>2893</v>
      </c>
      <c r="J378" t="s">
        <v>4930</v>
      </c>
      <c r="K378" t="s">
        <v>4931</v>
      </c>
      <c r="L378" s="2">
        <v>43102</v>
      </c>
      <c r="N378" t="s">
        <v>4932</v>
      </c>
      <c r="P378" t="s">
        <v>4933</v>
      </c>
      <c r="Q378" t="s">
        <v>4934</v>
      </c>
      <c r="R378" s="2">
        <v>41640</v>
      </c>
      <c r="S378" s="2">
        <v>43101</v>
      </c>
      <c r="T378" t="s">
        <v>4932</v>
      </c>
      <c r="V378" s="2">
        <v>36280</v>
      </c>
      <c r="W378" s="2">
        <v>36584</v>
      </c>
      <c r="X378" t="s">
        <v>51</v>
      </c>
    </row>
    <row r="379" spans="1:24" x14ac:dyDescent="0.2">
      <c r="A379" t="s">
        <v>4935</v>
      </c>
      <c r="B379" t="s">
        <v>348</v>
      </c>
      <c r="D379" t="s">
        <v>3102</v>
      </c>
      <c r="E379" t="s">
        <v>4936</v>
      </c>
      <c r="I379" t="s">
        <v>3104</v>
      </c>
      <c r="J379" t="s">
        <v>4937</v>
      </c>
      <c r="K379" t="s">
        <v>4280</v>
      </c>
      <c r="L379" s="2">
        <v>37622</v>
      </c>
      <c r="O379" t="s">
        <v>67</v>
      </c>
      <c r="P379" t="s">
        <v>4938</v>
      </c>
      <c r="Q379" t="s">
        <v>4939</v>
      </c>
      <c r="R379" t="s">
        <v>4940</v>
      </c>
      <c r="S379" t="s">
        <v>4941</v>
      </c>
      <c r="V379" s="2">
        <v>34074</v>
      </c>
      <c r="W379" s="2">
        <v>34236</v>
      </c>
      <c r="X379" t="s">
        <v>51</v>
      </c>
    </row>
    <row r="380" spans="1:24" x14ac:dyDescent="0.2">
      <c r="A380" t="s">
        <v>4942</v>
      </c>
      <c r="B380" t="s">
        <v>348</v>
      </c>
      <c r="D380" t="s">
        <v>3214</v>
      </c>
      <c r="E380" t="s">
        <v>3215</v>
      </c>
      <c r="F380" t="s">
        <v>3216</v>
      </c>
      <c r="G380" t="s">
        <v>4943</v>
      </c>
      <c r="I380" t="s">
        <v>3217</v>
      </c>
      <c r="J380" t="s">
        <v>4944</v>
      </c>
      <c r="K380" t="s">
        <v>4945</v>
      </c>
      <c r="L380" s="2">
        <v>42739</v>
      </c>
      <c r="O380" t="s">
        <v>402</v>
      </c>
      <c r="P380" t="s">
        <v>3219</v>
      </c>
      <c r="Q380" t="s">
        <v>4946</v>
      </c>
      <c r="R380" s="2">
        <v>42008</v>
      </c>
      <c r="S380" s="2">
        <v>42738</v>
      </c>
      <c r="T380" t="s">
        <v>3494</v>
      </c>
      <c r="V380" s="2">
        <v>35488</v>
      </c>
      <c r="W380" s="2">
        <v>37313</v>
      </c>
      <c r="X380" t="s">
        <v>51</v>
      </c>
    </row>
    <row r="381" spans="1:24" x14ac:dyDescent="0.2">
      <c r="A381" t="s">
        <v>4947</v>
      </c>
      <c r="B381" t="s">
        <v>348</v>
      </c>
      <c r="D381" t="s">
        <v>3220</v>
      </c>
      <c r="E381" t="s">
        <v>3221</v>
      </c>
      <c r="I381" t="s">
        <v>3222</v>
      </c>
      <c r="J381" t="s">
        <v>3223</v>
      </c>
      <c r="K381" t="s">
        <v>4948</v>
      </c>
      <c r="L381" s="2">
        <v>43476</v>
      </c>
      <c r="M381" s="2">
        <v>44208</v>
      </c>
      <c r="O381" t="s">
        <v>402</v>
      </c>
      <c r="P381" t="s">
        <v>4949</v>
      </c>
      <c r="Q381" t="s">
        <v>4950</v>
      </c>
      <c r="R381" s="2">
        <v>43110</v>
      </c>
      <c r="S381" s="2">
        <v>43475</v>
      </c>
      <c r="T381" t="s">
        <v>4951</v>
      </c>
      <c r="V381" s="2">
        <v>40568</v>
      </c>
      <c r="W381" s="2">
        <v>41157</v>
      </c>
      <c r="X381" t="s">
        <v>51</v>
      </c>
    </row>
    <row r="382" spans="1:24" x14ac:dyDescent="0.2">
      <c r="A382" t="s">
        <v>4952</v>
      </c>
      <c r="B382" t="s">
        <v>348</v>
      </c>
      <c r="D382" t="s">
        <v>3359</v>
      </c>
      <c r="E382" t="s">
        <v>3360</v>
      </c>
      <c r="F382" t="s">
        <v>3361</v>
      </c>
      <c r="G382" t="s">
        <v>4953</v>
      </c>
      <c r="I382" t="s">
        <v>3362</v>
      </c>
      <c r="J382" t="s">
        <v>4954</v>
      </c>
      <c r="K382" t="s">
        <v>4955</v>
      </c>
      <c r="L382" s="2">
        <v>41278</v>
      </c>
      <c r="N382" t="s">
        <v>4956</v>
      </c>
      <c r="O382" t="s">
        <v>402</v>
      </c>
      <c r="P382" t="s">
        <v>4957</v>
      </c>
      <c r="Q382" t="s">
        <v>4958</v>
      </c>
      <c r="R382" s="2">
        <v>40914</v>
      </c>
      <c r="S382" s="2">
        <v>41278</v>
      </c>
      <c r="T382" t="s">
        <v>3366</v>
      </c>
      <c r="V382" s="2">
        <v>35488</v>
      </c>
      <c r="W382" s="2">
        <v>37298</v>
      </c>
      <c r="X382" t="s">
        <v>239</v>
      </c>
    </row>
    <row r="383" spans="1:24" x14ac:dyDescent="0.2">
      <c r="A383" t="s">
        <v>4959</v>
      </c>
      <c r="B383" t="s">
        <v>349</v>
      </c>
      <c r="C383" t="s">
        <v>359</v>
      </c>
      <c r="D383" t="s">
        <v>866</v>
      </c>
      <c r="E383" t="s">
        <v>874</v>
      </c>
      <c r="I383" t="s">
        <v>875</v>
      </c>
      <c r="J383" t="s">
        <v>877</v>
      </c>
      <c r="K383" t="s">
        <v>4960</v>
      </c>
      <c r="L383" s="2">
        <v>43472</v>
      </c>
      <c r="M383" s="2">
        <v>44206</v>
      </c>
      <c r="O383" t="s">
        <v>402</v>
      </c>
      <c r="P383" t="s">
        <v>4961</v>
      </c>
      <c r="Q383" t="s">
        <v>4962</v>
      </c>
      <c r="R383" s="2">
        <v>41647</v>
      </c>
      <c r="S383" s="2">
        <v>44206</v>
      </c>
      <c r="V383" s="2">
        <v>36280</v>
      </c>
      <c r="W383" s="2">
        <v>37649</v>
      </c>
      <c r="X383" t="s">
        <v>51</v>
      </c>
    </row>
    <row r="384" spans="1:24" x14ac:dyDescent="0.2">
      <c r="A384" t="s">
        <v>4963</v>
      </c>
      <c r="B384" t="s">
        <v>349</v>
      </c>
      <c r="C384" t="s">
        <v>390</v>
      </c>
      <c r="D384" t="s">
        <v>2193</v>
      </c>
      <c r="E384" t="s">
        <v>2194</v>
      </c>
      <c r="G384" t="s">
        <v>4964</v>
      </c>
      <c r="I384" t="s">
        <v>2195</v>
      </c>
      <c r="J384" t="s">
        <v>2196</v>
      </c>
      <c r="K384" t="s">
        <v>4965</v>
      </c>
      <c r="L384" s="2">
        <v>44204</v>
      </c>
      <c r="M384" s="2">
        <v>44566</v>
      </c>
      <c r="O384" t="s">
        <v>402</v>
      </c>
      <c r="P384" t="s">
        <v>63</v>
      </c>
      <c r="Q384" t="s">
        <v>4966</v>
      </c>
      <c r="R384" s="2">
        <v>42371</v>
      </c>
      <c r="S384" s="2">
        <v>44199</v>
      </c>
      <c r="T384" t="s">
        <v>3460</v>
      </c>
      <c r="V384" s="2">
        <v>40567</v>
      </c>
      <c r="W384" s="2">
        <v>41533</v>
      </c>
      <c r="X384" t="s">
        <v>51</v>
      </c>
    </row>
    <row r="385" spans="1:24" x14ac:dyDescent="0.2">
      <c r="A385" t="s">
        <v>3884</v>
      </c>
      <c r="B385" t="s">
        <v>349</v>
      </c>
      <c r="C385" t="s">
        <v>791</v>
      </c>
      <c r="D385" t="s">
        <v>720</v>
      </c>
      <c r="E385" t="s">
        <v>722</v>
      </c>
      <c r="V385" s="2">
        <v>42513</v>
      </c>
      <c r="W385" s="2">
        <v>42894</v>
      </c>
      <c r="X385" t="s">
        <v>68</v>
      </c>
    </row>
    <row r="386" spans="1:24" x14ac:dyDescent="0.2">
      <c r="A386" t="s">
        <v>4967</v>
      </c>
      <c r="B386" t="s">
        <v>349</v>
      </c>
      <c r="C386" t="s">
        <v>3373</v>
      </c>
      <c r="D386" t="s">
        <v>3372</v>
      </c>
      <c r="E386" t="s">
        <v>3374</v>
      </c>
      <c r="F386" t="s">
        <v>3375</v>
      </c>
      <c r="I386" t="s">
        <v>3376</v>
      </c>
      <c r="J386" t="s">
        <v>3377</v>
      </c>
      <c r="K386" t="s">
        <v>4968</v>
      </c>
      <c r="L386" s="2">
        <v>43109</v>
      </c>
      <c r="N386" t="s">
        <v>3460</v>
      </c>
      <c r="O386" t="s">
        <v>156</v>
      </c>
      <c r="P386" t="s">
        <v>4715</v>
      </c>
      <c r="Q386" t="s">
        <v>4969</v>
      </c>
      <c r="R386" s="2">
        <v>43107</v>
      </c>
      <c r="T386" t="s">
        <v>3460</v>
      </c>
      <c r="V386" s="2">
        <v>37013</v>
      </c>
      <c r="W386" s="2">
        <v>37649</v>
      </c>
      <c r="X386" t="s">
        <v>51</v>
      </c>
    </row>
    <row r="387" spans="1:24" x14ac:dyDescent="0.2">
      <c r="A387" t="s">
        <v>4970</v>
      </c>
      <c r="B387" t="s">
        <v>349</v>
      </c>
      <c r="C387" t="s">
        <v>928</v>
      </c>
      <c r="D387" t="s">
        <v>1785</v>
      </c>
      <c r="E387" t="s">
        <v>1786</v>
      </c>
      <c r="I387" t="s">
        <v>1787</v>
      </c>
      <c r="J387" t="s">
        <v>1788</v>
      </c>
      <c r="K387" t="s">
        <v>4971</v>
      </c>
      <c r="L387" s="2">
        <v>43840</v>
      </c>
      <c r="O387" t="s">
        <v>402</v>
      </c>
      <c r="P387" t="s">
        <v>163</v>
      </c>
      <c r="Q387" t="s">
        <v>3461</v>
      </c>
      <c r="R387" s="2">
        <v>42744</v>
      </c>
      <c r="S387" s="2">
        <v>43473</v>
      </c>
      <c r="T387" t="s">
        <v>4972</v>
      </c>
      <c r="U387" t="s">
        <v>67</v>
      </c>
      <c r="V387" s="2">
        <v>42380</v>
      </c>
      <c r="W387" s="2">
        <v>42520</v>
      </c>
      <c r="X387" t="s">
        <v>51</v>
      </c>
    </row>
    <row r="388" spans="1:24" x14ac:dyDescent="0.2">
      <c r="A388" t="s">
        <v>4973</v>
      </c>
      <c r="B388" t="s">
        <v>349</v>
      </c>
      <c r="C388" t="s">
        <v>1715</v>
      </c>
      <c r="D388" t="s">
        <v>1711</v>
      </c>
      <c r="E388" t="s">
        <v>1716</v>
      </c>
      <c r="I388" t="s">
        <v>1717</v>
      </c>
      <c r="J388" t="s">
        <v>1718</v>
      </c>
      <c r="K388" t="s">
        <v>4974</v>
      </c>
      <c r="L388" s="2">
        <v>41648</v>
      </c>
      <c r="M388" s="2">
        <v>42007</v>
      </c>
      <c r="O388" t="s">
        <v>402</v>
      </c>
      <c r="P388" t="s">
        <v>1719</v>
      </c>
      <c r="Q388" t="s">
        <v>4975</v>
      </c>
      <c r="R388" s="2">
        <v>40180</v>
      </c>
      <c r="S388" s="2">
        <v>40188</v>
      </c>
      <c r="V388" s="2">
        <v>37013</v>
      </c>
      <c r="W388" s="2">
        <v>37298</v>
      </c>
      <c r="X388" t="s">
        <v>730</v>
      </c>
    </row>
    <row r="389" spans="1:24" x14ac:dyDescent="0.2">
      <c r="A389" t="s">
        <v>4976</v>
      </c>
      <c r="B389" t="s">
        <v>4977</v>
      </c>
      <c r="D389" t="s">
        <v>2193</v>
      </c>
      <c r="I389" t="s">
        <v>4978</v>
      </c>
      <c r="J389" t="s">
        <v>2196</v>
      </c>
      <c r="K389" t="s">
        <v>3839</v>
      </c>
      <c r="L389" s="2">
        <v>44204</v>
      </c>
      <c r="N389" t="s">
        <v>3494</v>
      </c>
      <c r="P389" t="s">
        <v>63</v>
      </c>
      <c r="Q389" t="s">
        <v>4979</v>
      </c>
      <c r="R389" s="2">
        <v>42371</v>
      </c>
      <c r="S389" s="2">
        <v>44199</v>
      </c>
      <c r="T389" t="s">
        <v>3460</v>
      </c>
      <c r="V389" s="2">
        <v>40567</v>
      </c>
      <c r="W389" s="2">
        <v>41533</v>
      </c>
      <c r="X389" t="s">
        <v>51</v>
      </c>
    </row>
    <row r="390" spans="1:24" x14ac:dyDescent="0.2">
      <c r="A390" t="s">
        <v>4980</v>
      </c>
      <c r="B390" t="s">
        <v>2178</v>
      </c>
      <c r="D390" t="s">
        <v>2177</v>
      </c>
      <c r="E390" t="s">
        <v>2179</v>
      </c>
      <c r="I390" t="s">
        <v>2180</v>
      </c>
      <c r="J390" t="s">
        <v>2181</v>
      </c>
      <c r="K390" t="s">
        <v>4981</v>
      </c>
      <c r="L390" s="2">
        <v>44568</v>
      </c>
      <c r="N390" t="s">
        <v>3460</v>
      </c>
      <c r="P390" t="s">
        <v>2182</v>
      </c>
      <c r="Q390" t="s">
        <v>4982</v>
      </c>
      <c r="R390" s="2">
        <v>43107</v>
      </c>
      <c r="S390" s="2">
        <v>44568</v>
      </c>
      <c r="V390" s="2">
        <v>35104</v>
      </c>
      <c r="W390" s="2">
        <v>35323</v>
      </c>
      <c r="X390" t="s">
        <v>51</v>
      </c>
    </row>
    <row r="391" spans="1:24" x14ac:dyDescent="0.2">
      <c r="A391" t="s">
        <v>4983</v>
      </c>
      <c r="B391" t="s">
        <v>744</v>
      </c>
      <c r="D391" t="s">
        <v>743</v>
      </c>
      <c r="I391" t="s">
        <v>746</v>
      </c>
      <c r="J391" t="s">
        <v>747</v>
      </c>
      <c r="K391" t="s">
        <v>4984</v>
      </c>
      <c r="L391" s="2">
        <v>42378</v>
      </c>
      <c r="N391" t="s">
        <v>4886</v>
      </c>
      <c r="O391" t="s">
        <v>156</v>
      </c>
      <c r="P391" t="s">
        <v>748</v>
      </c>
      <c r="Q391" t="s">
        <v>4985</v>
      </c>
      <c r="R391" s="2">
        <v>42016</v>
      </c>
      <c r="S391" s="2">
        <v>42377</v>
      </c>
      <c r="T391" t="s">
        <v>4986</v>
      </c>
      <c r="U391" t="s">
        <v>602</v>
      </c>
      <c r="V391" s="2">
        <v>37013</v>
      </c>
      <c r="W391" s="2">
        <v>37166</v>
      </c>
      <c r="X391" t="s">
        <v>51</v>
      </c>
    </row>
    <row r="392" spans="1:24" x14ac:dyDescent="0.2">
      <c r="A392" t="s">
        <v>4987</v>
      </c>
      <c r="B392" t="s">
        <v>1596</v>
      </c>
      <c r="D392" t="s">
        <v>1595</v>
      </c>
      <c r="E392" t="s">
        <v>4988</v>
      </c>
      <c r="I392" t="s">
        <v>1598</v>
      </c>
      <c r="J392" t="s">
        <v>551</v>
      </c>
      <c r="K392" t="s">
        <v>4989</v>
      </c>
      <c r="L392" s="2">
        <v>40909</v>
      </c>
      <c r="O392" t="s">
        <v>156</v>
      </c>
      <c r="P392" t="s">
        <v>4990</v>
      </c>
      <c r="Q392" t="s">
        <v>4991</v>
      </c>
      <c r="R392" s="2">
        <v>36892</v>
      </c>
      <c r="S392" s="2">
        <v>40179</v>
      </c>
      <c r="V392" s="2">
        <v>33240</v>
      </c>
      <c r="W392" s="2">
        <v>34233</v>
      </c>
      <c r="X392" t="s">
        <v>51</v>
      </c>
    </row>
    <row r="393" spans="1:24" x14ac:dyDescent="0.2">
      <c r="A393" t="s">
        <v>4992</v>
      </c>
      <c r="B393" t="s">
        <v>461</v>
      </c>
      <c r="D393" t="s">
        <v>460</v>
      </c>
      <c r="E393" t="s">
        <v>462</v>
      </c>
      <c r="F393" t="s">
        <v>463</v>
      </c>
      <c r="G393" t="s">
        <v>4993</v>
      </c>
      <c r="I393" t="s">
        <v>464</v>
      </c>
      <c r="J393" t="s">
        <v>466</v>
      </c>
      <c r="K393" t="s">
        <v>4994</v>
      </c>
      <c r="L393" s="2">
        <v>43474</v>
      </c>
      <c r="M393" s="2">
        <v>43477</v>
      </c>
      <c r="N393" t="s">
        <v>3460</v>
      </c>
      <c r="P393" t="s">
        <v>612</v>
      </c>
      <c r="Q393" t="s">
        <v>4995</v>
      </c>
      <c r="R393" s="2">
        <v>42745</v>
      </c>
      <c r="S393" s="2">
        <v>43474</v>
      </c>
      <c r="T393" t="s">
        <v>3460</v>
      </c>
      <c r="V393" s="2">
        <v>43115</v>
      </c>
      <c r="W393" s="2">
        <v>43830</v>
      </c>
      <c r="X393" t="s">
        <v>51</v>
      </c>
    </row>
    <row r="394" spans="1:24" x14ac:dyDescent="0.2">
      <c r="A394" t="s">
        <v>4996</v>
      </c>
      <c r="B394" t="s">
        <v>461</v>
      </c>
      <c r="D394" t="s">
        <v>1547</v>
      </c>
      <c r="I394" t="s">
        <v>1548</v>
      </c>
      <c r="J394" t="s">
        <v>1549</v>
      </c>
      <c r="K394" t="s">
        <v>4285</v>
      </c>
      <c r="L394" s="2">
        <v>42378</v>
      </c>
      <c r="N394" t="s">
        <v>4645</v>
      </c>
      <c r="O394" t="s">
        <v>214</v>
      </c>
      <c r="P394" t="s">
        <v>1550</v>
      </c>
      <c r="Q394" t="s">
        <v>4997</v>
      </c>
      <c r="R394" s="2">
        <v>40189</v>
      </c>
      <c r="S394" s="2">
        <v>42376</v>
      </c>
      <c r="T394" t="s">
        <v>4998</v>
      </c>
      <c r="V394" s="2">
        <v>34431</v>
      </c>
      <c r="W394" s="2">
        <v>35185</v>
      </c>
      <c r="X394" t="s">
        <v>51</v>
      </c>
    </row>
    <row r="395" spans="1:24" x14ac:dyDescent="0.2">
      <c r="A395" t="s">
        <v>4999</v>
      </c>
      <c r="B395" t="s">
        <v>461</v>
      </c>
      <c r="D395" t="s">
        <v>2093</v>
      </c>
      <c r="V395" s="2">
        <v>33240</v>
      </c>
      <c r="W395" s="2">
        <v>33602</v>
      </c>
      <c r="X395" t="s">
        <v>51</v>
      </c>
    </row>
    <row r="396" spans="1:24" x14ac:dyDescent="0.2">
      <c r="A396" t="s">
        <v>5000</v>
      </c>
      <c r="B396" t="s">
        <v>461</v>
      </c>
      <c r="D396" t="s">
        <v>2651</v>
      </c>
      <c r="E396" t="s">
        <v>5001</v>
      </c>
      <c r="F396" t="s">
        <v>5002</v>
      </c>
      <c r="I396" t="s">
        <v>2654</v>
      </c>
      <c r="J396" t="s">
        <v>2656</v>
      </c>
      <c r="K396" t="s">
        <v>5003</v>
      </c>
      <c r="L396" s="2">
        <v>44562</v>
      </c>
      <c r="N396" t="s">
        <v>4684</v>
      </c>
      <c r="P396" t="s">
        <v>5004</v>
      </c>
      <c r="Q396" t="s">
        <v>5005</v>
      </c>
      <c r="R396" s="2">
        <v>44200</v>
      </c>
      <c r="S396" s="2">
        <v>44208</v>
      </c>
      <c r="T396" t="s">
        <v>5006</v>
      </c>
      <c r="V396" s="2">
        <v>43480</v>
      </c>
      <c r="X396" t="s">
        <v>51</v>
      </c>
    </row>
    <row r="397" spans="1:24" x14ac:dyDescent="0.2">
      <c r="A397" t="s">
        <v>5007</v>
      </c>
      <c r="B397" t="s">
        <v>3021</v>
      </c>
      <c r="D397" t="s">
        <v>3020</v>
      </c>
      <c r="E397" t="s">
        <v>3022</v>
      </c>
      <c r="G397" t="s">
        <v>5008</v>
      </c>
      <c r="I397" t="s">
        <v>3023</v>
      </c>
      <c r="J397" t="s">
        <v>3026</v>
      </c>
      <c r="K397" t="s">
        <v>5009</v>
      </c>
      <c r="L397" s="2">
        <v>41648</v>
      </c>
      <c r="M397" s="2">
        <v>44200</v>
      </c>
      <c r="N397" t="s">
        <v>5010</v>
      </c>
      <c r="O397" t="s">
        <v>402</v>
      </c>
      <c r="P397" t="s">
        <v>5011</v>
      </c>
      <c r="Q397" t="s">
        <v>5012</v>
      </c>
      <c r="R397" s="2">
        <v>41280</v>
      </c>
      <c r="S397" s="2">
        <v>41285</v>
      </c>
      <c r="T397" t="s">
        <v>5013</v>
      </c>
      <c r="V397" s="2">
        <v>40568</v>
      </c>
      <c r="W397" s="2">
        <v>41072</v>
      </c>
      <c r="X397" t="s">
        <v>51</v>
      </c>
    </row>
    <row r="398" spans="1:24" x14ac:dyDescent="0.2">
      <c r="A398" t="s">
        <v>5014</v>
      </c>
      <c r="B398" t="s">
        <v>1666</v>
      </c>
      <c r="D398" t="s">
        <v>1665</v>
      </c>
      <c r="E398" t="s">
        <v>1667</v>
      </c>
      <c r="F398" t="s">
        <v>1668</v>
      </c>
      <c r="G398" t="s">
        <v>5015</v>
      </c>
      <c r="I398" t="s">
        <v>1669</v>
      </c>
      <c r="J398" t="s">
        <v>5016</v>
      </c>
      <c r="K398" t="s">
        <v>5017</v>
      </c>
      <c r="L398" s="2">
        <v>43469</v>
      </c>
      <c r="N398">
        <v>0</v>
      </c>
      <c r="O398" t="s">
        <v>402</v>
      </c>
      <c r="P398" t="s">
        <v>1671</v>
      </c>
      <c r="Q398" t="s">
        <v>5018</v>
      </c>
      <c r="R398" s="2">
        <v>41647</v>
      </c>
      <c r="S398" s="2">
        <v>43101</v>
      </c>
      <c r="V398" s="2">
        <v>38007</v>
      </c>
      <c r="W398" s="2">
        <v>39126</v>
      </c>
      <c r="X398" t="s">
        <v>68</v>
      </c>
    </row>
    <row r="399" spans="1:24" x14ac:dyDescent="0.2">
      <c r="A399" t="s">
        <v>5019</v>
      </c>
      <c r="B399" t="s">
        <v>1916</v>
      </c>
      <c r="D399" t="s">
        <v>1915</v>
      </c>
      <c r="E399" t="s">
        <v>1917</v>
      </c>
      <c r="V399" s="2">
        <v>40113</v>
      </c>
      <c r="W399" s="2">
        <v>41157</v>
      </c>
      <c r="X399" t="s">
        <v>453</v>
      </c>
    </row>
    <row r="400" spans="1:24" x14ac:dyDescent="0.2">
      <c r="A400" t="s">
        <v>5020</v>
      </c>
      <c r="B400" t="s">
        <v>1198</v>
      </c>
      <c r="D400" t="s">
        <v>1197</v>
      </c>
      <c r="E400" t="s">
        <v>1199</v>
      </c>
      <c r="I400" t="s">
        <v>1200</v>
      </c>
      <c r="J400" t="s">
        <v>1201</v>
      </c>
      <c r="K400" t="s">
        <v>5021</v>
      </c>
      <c r="L400" s="2">
        <v>43110</v>
      </c>
      <c r="N400" t="s">
        <v>4645</v>
      </c>
      <c r="O400" t="s">
        <v>67</v>
      </c>
      <c r="P400" t="s">
        <v>1202</v>
      </c>
      <c r="Q400" t="s">
        <v>5022</v>
      </c>
      <c r="R400" s="2">
        <v>42379</v>
      </c>
      <c r="S400" s="2">
        <v>43109</v>
      </c>
      <c r="T400" t="s">
        <v>4645</v>
      </c>
      <c r="V400" s="2">
        <v>35488</v>
      </c>
      <c r="W400" s="2">
        <v>35766</v>
      </c>
      <c r="X400" t="s">
        <v>51</v>
      </c>
    </row>
    <row r="401" spans="1:24" x14ac:dyDescent="0.2">
      <c r="A401" t="s">
        <v>5023</v>
      </c>
      <c r="B401" t="s">
        <v>1198</v>
      </c>
      <c r="D401" t="s">
        <v>1948</v>
      </c>
      <c r="E401" t="s">
        <v>1949</v>
      </c>
      <c r="I401" t="s">
        <v>1950</v>
      </c>
      <c r="J401" t="s">
        <v>1953</v>
      </c>
      <c r="K401" t="s">
        <v>3589</v>
      </c>
      <c r="L401" s="2">
        <v>39816</v>
      </c>
      <c r="N401" t="s">
        <v>5024</v>
      </c>
      <c r="O401" t="s">
        <v>402</v>
      </c>
      <c r="P401" t="s">
        <v>5025</v>
      </c>
      <c r="Q401" t="s">
        <v>5026</v>
      </c>
      <c r="R401" s="2">
        <v>37987</v>
      </c>
      <c r="S401" s="2">
        <v>39814</v>
      </c>
      <c r="T401" t="s">
        <v>3460</v>
      </c>
      <c r="V401" s="2">
        <v>33865</v>
      </c>
      <c r="W401" s="2">
        <v>34236</v>
      </c>
      <c r="X401" t="s">
        <v>157</v>
      </c>
    </row>
    <row r="402" spans="1:24" x14ac:dyDescent="0.2">
      <c r="A402" t="s">
        <v>5027</v>
      </c>
      <c r="B402" t="s">
        <v>1198</v>
      </c>
      <c r="D402" t="s">
        <v>2533</v>
      </c>
      <c r="E402" t="s">
        <v>2534</v>
      </c>
      <c r="I402" t="s">
        <v>2535</v>
      </c>
      <c r="J402" t="s">
        <v>5028</v>
      </c>
      <c r="K402" t="s">
        <v>5029</v>
      </c>
      <c r="L402" s="2">
        <v>38726</v>
      </c>
      <c r="N402" t="s">
        <v>3460</v>
      </c>
      <c r="O402" t="s">
        <v>67</v>
      </c>
      <c r="P402" t="s">
        <v>5030</v>
      </c>
      <c r="Q402" t="s">
        <v>5031</v>
      </c>
      <c r="R402" s="2">
        <v>40912</v>
      </c>
      <c r="T402" t="s">
        <v>3460</v>
      </c>
      <c r="V402" s="2">
        <v>33240</v>
      </c>
      <c r="W402" s="2">
        <v>33602</v>
      </c>
      <c r="X402" t="s">
        <v>51</v>
      </c>
    </row>
    <row r="403" spans="1:24" x14ac:dyDescent="0.2">
      <c r="A403" t="s">
        <v>5032</v>
      </c>
      <c r="B403" t="s">
        <v>1030</v>
      </c>
      <c r="D403" t="s">
        <v>1745</v>
      </c>
      <c r="V403" s="2">
        <v>33240</v>
      </c>
      <c r="W403" s="2">
        <v>33602</v>
      </c>
      <c r="X403" t="s">
        <v>51</v>
      </c>
    </row>
    <row r="404" spans="1:24" x14ac:dyDescent="0.2">
      <c r="A404" t="s">
        <v>5033</v>
      </c>
      <c r="B404" t="s">
        <v>1030</v>
      </c>
      <c r="D404" t="s">
        <v>2690</v>
      </c>
      <c r="E404" t="s">
        <v>2691</v>
      </c>
      <c r="I404" t="s">
        <v>2692</v>
      </c>
      <c r="J404" t="s">
        <v>2693</v>
      </c>
      <c r="K404" t="s">
        <v>5034</v>
      </c>
      <c r="L404" s="2">
        <v>41642</v>
      </c>
      <c r="O404" t="s">
        <v>402</v>
      </c>
      <c r="P404" t="s">
        <v>2694</v>
      </c>
      <c r="Q404" t="s">
        <v>5035</v>
      </c>
      <c r="R404" s="2">
        <v>37993</v>
      </c>
      <c r="S404" s="2">
        <v>39455</v>
      </c>
      <c r="V404" s="2">
        <v>33240</v>
      </c>
      <c r="W404" s="2">
        <v>34233</v>
      </c>
      <c r="X404" t="s">
        <v>51</v>
      </c>
    </row>
    <row r="405" spans="1:24" x14ac:dyDescent="0.2">
      <c r="A405" t="s">
        <v>5036</v>
      </c>
      <c r="B405" t="s">
        <v>1030</v>
      </c>
      <c r="D405" t="s">
        <v>2771</v>
      </c>
      <c r="E405" t="s">
        <v>2772</v>
      </c>
      <c r="I405" t="s">
        <v>2773</v>
      </c>
      <c r="J405" t="s">
        <v>5037</v>
      </c>
      <c r="K405" t="s">
        <v>756</v>
      </c>
      <c r="L405" s="2">
        <v>44563</v>
      </c>
      <c r="N405" t="s">
        <v>3460</v>
      </c>
      <c r="O405" t="s">
        <v>402</v>
      </c>
      <c r="P405" t="s">
        <v>2775</v>
      </c>
      <c r="Q405" t="s">
        <v>756</v>
      </c>
      <c r="R405" s="2">
        <v>43466</v>
      </c>
      <c r="T405" t="s">
        <v>3460</v>
      </c>
      <c r="V405" s="2">
        <v>33865</v>
      </c>
      <c r="W405" s="2">
        <v>34233</v>
      </c>
      <c r="X405" t="s">
        <v>51</v>
      </c>
    </row>
    <row r="406" spans="1:24" x14ac:dyDescent="0.2">
      <c r="A406" t="s">
        <v>5038</v>
      </c>
      <c r="B406" t="s">
        <v>332</v>
      </c>
      <c r="C406" t="s">
        <v>1127</v>
      </c>
      <c r="D406" t="s">
        <v>1126</v>
      </c>
      <c r="E406" t="s">
        <v>1128</v>
      </c>
      <c r="I406" t="s">
        <v>1129</v>
      </c>
      <c r="J406" t="s">
        <v>5039</v>
      </c>
      <c r="K406" t="s">
        <v>5040</v>
      </c>
      <c r="L406" s="2">
        <v>44573</v>
      </c>
      <c r="N406" t="s">
        <v>3460</v>
      </c>
      <c r="P406" t="s">
        <v>5041</v>
      </c>
      <c r="Q406" t="s">
        <v>5042</v>
      </c>
      <c r="R406" s="2">
        <v>37997</v>
      </c>
      <c r="S406" s="2">
        <v>43474</v>
      </c>
      <c r="T406" t="s">
        <v>4645</v>
      </c>
      <c r="V406" s="2">
        <v>32464</v>
      </c>
      <c r="X406" t="s">
        <v>51</v>
      </c>
    </row>
    <row r="407" spans="1:24" x14ac:dyDescent="0.2">
      <c r="A407" t="s">
        <v>5043</v>
      </c>
      <c r="B407" t="s">
        <v>332</v>
      </c>
      <c r="D407" t="s">
        <v>331</v>
      </c>
      <c r="E407" t="s">
        <v>333</v>
      </c>
      <c r="G407" t="s">
        <v>5044</v>
      </c>
      <c r="I407" t="s">
        <v>334</v>
      </c>
      <c r="J407" t="s">
        <v>5045</v>
      </c>
      <c r="K407" t="s">
        <v>5046</v>
      </c>
      <c r="L407" s="2">
        <v>39451</v>
      </c>
      <c r="N407" t="s">
        <v>2293</v>
      </c>
      <c r="O407" t="s">
        <v>402</v>
      </c>
      <c r="P407" t="s">
        <v>335</v>
      </c>
      <c r="Q407" t="s">
        <v>5047</v>
      </c>
      <c r="R407" s="2">
        <v>38721</v>
      </c>
      <c r="V407" s="2">
        <v>38538</v>
      </c>
      <c r="W407" s="2">
        <v>38860</v>
      </c>
      <c r="X407" t="s">
        <v>51</v>
      </c>
    </row>
    <row r="408" spans="1:24" x14ac:dyDescent="0.2">
      <c r="A408" t="s">
        <v>5048</v>
      </c>
      <c r="B408" t="s">
        <v>332</v>
      </c>
      <c r="D408" t="s">
        <v>404</v>
      </c>
      <c r="E408" t="s">
        <v>405</v>
      </c>
      <c r="I408" t="s">
        <v>406</v>
      </c>
      <c r="J408" t="s">
        <v>5049</v>
      </c>
      <c r="K408" t="s">
        <v>157</v>
      </c>
      <c r="L408" s="2">
        <v>44569</v>
      </c>
      <c r="P408" t="s">
        <v>408</v>
      </c>
      <c r="Q408" t="s">
        <v>212</v>
      </c>
      <c r="R408" s="2">
        <v>43101</v>
      </c>
      <c r="S408" s="2">
        <v>44567</v>
      </c>
      <c r="T408" t="s">
        <v>3494</v>
      </c>
      <c r="V408" s="2">
        <v>41310</v>
      </c>
      <c r="W408" s="2">
        <v>41680</v>
      </c>
      <c r="X408" t="s">
        <v>51</v>
      </c>
    </row>
    <row r="409" spans="1:24" x14ac:dyDescent="0.2">
      <c r="A409" t="s">
        <v>5050</v>
      </c>
      <c r="B409" t="s">
        <v>332</v>
      </c>
      <c r="D409" t="s">
        <v>608</v>
      </c>
      <c r="I409" t="s">
        <v>610</v>
      </c>
      <c r="J409" t="s">
        <v>611</v>
      </c>
      <c r="K409" t="s">
        <v>3476</v>
      </c>
      <c r="L409" s="2">
        <v>44203</v>
      </c>
      <c r="N409" t="s">
        <v>3460</v>
      </c>
      <c r="O409" t="s">
        <v>156</v>
      </c>
      <c r="V409" s="2">
        <v>42886</v>
      </c>
      <c r="X409" t="s">
        <v>51</v>
      </c>
    </row>
    <row r="410" spans="1:24" x14ac:dyDescent="0.2">
      <c r="A410" t="s">
        <v>5051</v>
      </c>
      <c r="B410" t="s">
        <v>332</v>
      </c>
      <c r="D410" t="s">
        <v>931</v>
      </c>
      <c r="E410" t="s">
        <v>932</v>
      </c>
      <c r="I410" t="s">
        <v>933</v>
      </c>
      <c r="J410" t="s">
        <v>3923</v>
      </c>
      <c r="K410" t="s">
        <v>3501</v>
      </c>
      <c r="L410" s="2">
        <v>44198</v>
      </c>
      <c r="N410" t="s">
        <v>3460</v>
      </c>
      <c r="O410" t="s">
        <v>402</v>
      </c>
      <c r="P410" t="s">
        <v>5052</v>
      </c>
      <c r="Q410" t="s">
        <v>5053</v>
      </c>
      <c r="R410" s="2">
        <v>44205</v>
      </c>
      <c r="V410" s="2">
        <v>43255</v>
      </c>
      <c r="X410" t="s">
        <v>157</v>
      </c>
    </row>
    <row r="411" spans="1:24" x14ac:dyDescent="0.2">
      <c r="A411" t="s">
        <v>5054</v>
      </c>
      <c r="B411" t="s">
        <v>332</v>
      </c>
      <c r="D411" t="s">
        <v>1147</v>
      </c>
      <c r="E411" t="s">
        <v>5055</v>
      </c>
      <c r="F411" t="s">
        <v>1148</v>
      </c>
      <c r="G411" t="s">
        <v>5056</v>
      </c>
      <c r="I411" t="s">
        <v>1149</v>
      </c>
      <c r="J411" t="s">
        <v>245</v>
      </c>
      <c r="K411" t="s">
        <v>5057</v>
      </c>
      <c r="L411" s="2">
        <v>44197</v>
      </c>
      <c r="M411" s="2">
        <v>44566</v>
      </c>
      <c r="O411" t="s">
        <v>214</v>
      </c>
      <c r="P411" t="s">
        <v>1150</v>
      </c>
      <c r="Q411" t="s">
        <v>5058</v>
      </c>
      <c r="R411" s="2">
        <v>43466</v>
      </c>
      <c r="T411" t="s">
        <v>5059</v>
      </c>
      <c r="V411" s="2">
        <v>43480</v>
      </c>
      <c r="X411" t="s">
        <v>51</v>
      </c>
    </row>
    <row r="412" spans="1:24" x14ac:dyDescent="0.2">
      <c r="A412" t="s">
        <v>5060</v>
      </c>
      <c r="B412" t="s">
        <v>332</v>
      </c>
      <c r="D412" t="s">
        <v>1172</v>
      </c>
      <c r="E412" t="s">
        <v>1173</v>
      </c>
      <c r="F412" t="s">
        <v>5061</v>
      </c>
      <c r="G412" t="s">
        <v>4857</v>
      </c>
      <c r="I412" t="s">
        <v>1175</v>
      </c>
      <c r="J412" t="s">
        <v>263</v>
      </c>
      <c r="K412" t="s">
        <v>5062</v>
      </c>
      <c r="L412" s="2">
        <v>43475</v>
      </c>
      <c r="O412" t="s">
        <v>67</v>
      </c>
      <c r="P412" t="s">
        <v>803</v>
      </c>
      <c r="Q412" t="s">
        <v>5063</v>
      </c>
      <c r="R412" s="2">
        <v>42376</v>
      </c>
      <c r="S412" s="2">
        <v>43475</v>
      </c>
      <c r="U412" t="s">
        <v>67</v>
      </c>
      <c r="V412" s="2">
        <v>41310</v>
      </c>
      <c r="W412" s="2">
        <v>41890</v>
      </c>
      <c r="X412" t="s">
        <v>51</v>
      </c>
    </row>
    <row r="413" spans="1:24" x14ac:dyDescent="0.2">
      <c r="A413" t="s">
        <v>5064</v>
      </c>
      <c r="B413" t="s">
        <v>332</v>
      </c>
      <c r="D413" t="s">
        <v>1541</v>
      </c>
      <c r="E413" t="s">
        <v>5065</v>
      </c>
      <c r="F413" t="s">
        <v>5066</v>
      </c>
      <c r="G413" t="s">
        <v>5067</v>
      </c>
      <c r="I413" t="s">
        <v>1543</v>
      </c>
      <c r="J413" t="s">
        <v>1544</v>
      </c>
      <c r="K413" t="s">
        <v>5068</v>
      </c>
      <c r="L413" s="2">
        <v>43471</v>
      </c>
      <c r="N413" t="s">
        <v>3460</v>
      </c>
      <c r="O413" t="s">
        <v>67</v>
      </c>
      <c r="P413" t="s">
        <v>803</v>
      </c>
      <c r="Q413" t="s">
        <v>5069</v>
      </c>
      <c r="R413" s="2">
        <v>37990</v>
      </c>
      <c r="S413" s="2">
        <v>43471</v>
      </c>
      <c r="T413" t="s">
        <v>4645</v>
      </c>
      <c r="U413" t="s">
        <v>67</v>
      </c>
      <c r="V413" s="2">
        <v>36280</v>
      </c>
      <c r="W413" s="2">
        <v>36891</v>
      </c>
      <c r="X413" t="s">
        <v>51</v>
      </c>
    </row>
    <row r="414" spans="1:24" x14ac:dyDescent="0.2">
      <c r="A414" t="s">
        <v>5070</v>
      </c>
      <c r="B414" t="s">
        <v>332</v>
      </c>
      <c r="D414" t="s">
        <v>1552</v>
      </c>
      <c r="E414" t="s">
        <v>1553</v>
      </c>
      <c r="G414" t="s">
        <v>5071</v>
      </c>
      <c r="I414" t="s">
        <v>1554</v>
      </c>
      <c r="J414" t="s">
        <v>5072</v>
      </c>
      <c r="K414" t="s">
        <v>4495</v>
      </c>
      <c r="L414" s="2">
        <v>44565</v>
      </c>
      <c r="P414" t="s">
        <v>611</v>
      </c>
      <c r="Q414" t="s">
        <v>5073</v>
      </c>
      <c r="R414" s="2">
        <v>43108</v>
      </c>
      <c r="S414" s="2">
        <v>44203</v>
      </c>
      <c r="U414" t="s">
        <v>156</v>
      </c>
      <c r="V414" s="2">
        <v>42023</v>
      </c>
      <c r="W414" s="2">
        <v>42654</v>
      </c>
      <c r="X414" t="s">
        <v>51</v>
      </c>
    </row>
    <row r="415" spans="1:24" x14ac:dyDescent="0.2">
      <c r="A415" t="s">
        <v>5074</v>
      </c>
      <c r="B415" t="s">
        <v>332</v>
      </c>
      <c r="D415" t="s">
        <v>1615</v>
      </c>
      <c r="E415" t="s">
        <v>1616</v>
      </c>
      <c r="G415" t="s">
        <v>5075</v>
      </c>
      <c r="I415" t="s">
        <v>1617</v>
      </c>
      <c r="J415" t="s">
        <v>5076</v>
      </c>
      <c r="K415" t="s">
        <v>5077</v>
      </c>
      <c r="L415" s="2">
        <v>44208</v>
      </c>
      <c r="N415" t="s">
        <v>3460</v>
      </c>
      <c r="P415" t="s">
        <v>1619</v>
      </c>
      <c r="Q415" t="s">
        <v>3956</v>
      </c>
      <c r="R415" s="2">
        <v>42380</v>
      </c>
      <c r="S415" s="2">
        <v>44208</v>
      </c>
      <c r="T415" t="s">
        <v>4645</v>
      </c>
      <c r="V415" s="2">
        <v>33240</v>
      </c>
      <c r="W415" s="2">
        <v>33602</v>
      </c>
      <c r="X415" t="s">
        <v>425</v>
      </c>
    </row>
    <row r="416" spans="1:24" x14ac:dyDescent="0.2">
      <c r="A416" t="s">
        <v>5078</v>
      </c>
      <c r="B416" t="s">
        <v>332</v>
      </c>
      <c r="D416" t="s">
        <v>1771</v>
      </c>
      <c r="E416" t="s">
        <v>5079</v>
      </c>
      <c r="F416" t="s">
        <v>5080</v>
      </c>
      <c r="G416" t="s">
        <v>5081</v>
      </c>
      <c r="I416" t="s">
        <v>1774</v>
      </c>
      <c r="J416" t="s">
        <v>5082</v>
      </c>
      <c r="K416" t="s">
        <v>5083</v>
      </c>
      <c r="L416" s="2">
        <v>40909</v>
      </c>
      <c r="M416" s="2">
        <v>43836</v>
      </c>
      <c r="O416" t="s">
        <v>402</v>
      </c>
      <c r="P416" t="s">
        <v>5084</v>
      </c>
      <c r="Q416" t="s">
        <v>5085</v>
      </c>
      <c r="R416" s="2">
        <v>42005</v>
      </c>
      <c r="T416" t="s">
        <v>5086</v>
      </c>
      <c r="V416" s="2">
        <v>37797</v>
      </c>
      <c r="W416" s="2">
        <v>38860</v>
      </c>
      <c r="X416" t="s">
        <v>51</v>
      </c>
    </row>
    <row r="417" spans="1:24" x14ac:dyDescent="0.2">
      <c r="A417" t="s">
        <v>5087</v>
      </c>
      <c r="B417" t="s">
        <v>332</v>
      </c>
      <c r="D417" t="s">
        <v>2404</v>
      </c>
      <c r="E417" t="s">
        <v>5088</v>
      </c>
      <c r="X417" t="s">
        <v>51</v>
      </c>
    </row>
    <row r="418" spans="1:24" x14ac:dyDescent="0.2">
      <c r="A418" t="s">
        <v>5089</v>
      </c>
      <c r="B418" t="s">
        <v>332</v>
      </c>
      <c r="D418" t="s">
        <v>2513</v>
      </c>
      <c r="E418" t="s">
        <v>2514</v>
      </c>
      <c r="F418" t="s">
        <v>2515</v>
      </c>
      <c r="G418" t="s">
        <v>5090</v>
      </c>
      <c r="I418" t="s">
        <v>2516</v>
      </c>
      <c r="J418" t="s">
        <v>2518</v>
      </c>
      <c r="K418" t="s">
        <v>5091</v>
      </c>
      <c r="L418" s="2">
        <v>41283</v>
      </c>
      <c r="N418" t="s">
        <v>3494</v>
      </c>
      <c r="O418" t="s">
        <v>214</v>
      </c>
      <c r="P418" t="s">
        <v>4130</v>
      </c>
      <c r="Q418" t="s">
        <v>5092</v>
      </c>
      <c r="R418" s="2">
        <v>40184</v>
      </c>
      <c r="S418" s="2">
        <v>41283</v>
      </c>
      <c r="T418" t="s">
        <v>3494</v>
      </c>
      <c r="U418" t="s">
        <v>156</v>
      </c>
      <c r="V418" s="2">
        <v>39238</v>
      </c>
      <c r="W418" s="2">
        <v>39882</v>
      </c>
      <c r="X418" t="s">
        <v>51</v>
      </c>
    </row>
    <row r="419" spans="1:24" x14ac:dyDescent="0.2">
      <c r="A419" t="s">
        <v>5093</v>
      </c>
      <c r="B419" t="s">
        <v>332</v>
      </c>
      <c r="D419" t="s">
        <v>2599</v>
      </c>
      <c r="E419" t="s">
        <v>2600</v>
      </c>
      <c r="I419" t="s">
        <v>2601</v>
      </c>
      <c r="J419" t="s">
        <v>2602</v>
      </c>
      <c r="K419" t="s">
        <v>5003</v>
      </c>
      <c r="L419" s="2">
        <v>44569</v>
      </c>
      <c r="N419" t="s">
        <v>3494</v>
      </c>
      <c r="P419" t="s">
        <v>2603</v>
      </c>
      <c r="Q419" t="s">
        <v>5094</v>
      </c>
      <c r="R419" s="2">
        <v>44199</v>
      </c>
      <c r="S419" s="2">
        <v>44567</v>
      </c>
      <c r="V419" s="2">
        <v>41310</v>
      </c>
      <c r="W419" s="2">
        <v>41799</v>
      </c>
      <c r="X419" t="s">
        <v>51</v>
      </c>
    </row>
    <row r="420" spans="1:24" x14ac:dyDescent="0.2">
      <c r="A420" t="s">
        <v>5095</v>
      </c>
      <c r="B420" t="s">
        <v>332</v>
      </c>
      <c r="D420" t="s">
        <v>2721</v>
      </c>
      <c r="V420" s="2">
        <v>35488</v>
      </c>
      <c r="W420" s="2">
        <v>35674</v>
      </c>
      <c r="X420" t="s">
        <v>51</v>
      </c>
    </row>
    <row r="421" spans="1:24" x14ac:dyDescent="0.2">
      <c r="A421" t="s">
        <v>5096</v>
      </c>
      <c r="B421" t="s">
        <v>332</v>
      </c>
      <c r="D421" t="s">
        <v>2781</v>
      </c>
      <c r="I421" t="s">
        <v>2783</v>
      </c>
      <c r="J421" t="s">
        <v>2303</v>
      </c>
      <c r="K421" t="s">
        <v>4285</v>
      </c>
      <c r="L421" s="2">
        <v>43475</v>
      </c>
      <c r="N421" t="s">
        <v>5097</v>
      </c>
      <c r="O421" t="s">
        <v>402</v>
      </c>
      <c r="P421" t="s">
        <v>5098</v>
      </c>
      <c r="Q421" t="s">
        <v>5099</v>
      </c>
      <c r="R421" s="2">
        <v>42012</v>
      </c>
      <c r="S421" s="2">
        <v>43475</v>
      </c>
      <c r="T421" t="s">
        <v>5100</v>
      </c>
      <c r="V421" s="2">
        <v>36655</v>
      </c>
      <c r="W421" s="2">
        <v>37649</v>
      </c>
      <c r="X421" t="s">
        <v>51</v>
      </c>
    </row>
    <row r="422" spans="1:24" x14ac:dyDescent="0.2">
      <c r="A422" t="s">
        <v>5101</v>
      </c>
      <c r="B422" t="s">
        <v>332</v>
      </c>
      <c r="D422" t="s">
        <v>2844</v>
      </c>
      <c r="E422" t="s">
        <v>2845</v>
      </c>
      <c r="G422" t="s">
        <v>5102</v>
      </c>
      <c r="I422" t="s">
        <v>2846</v>
      </c>
      <c r="J422" t="s">
        <v>2848</v>
      </c>
      <c r="K422" t="s">
        <v>5103</v>
      </c>
      <c r="L422" s="2">
        <v>43839</v>
      </c>
      <c r="N422" t="s">
        <v>3494</v>
      </c>
      <c r="P422" t="s">
        <v>1025</v>
      </c>
      <c r="Q422" t="s">
        <v>5104</v>
      </c>
      <c r="R422" s="2">
        <v>42372</v>
      </c>
      <c r="S422" s="2">
        <v>43112</v>
      </c>
      <c r="V422" s="2">
        <v>39882</v>
      </c>
      <c r="W422" s="2">
        <v>41195</v>
      </c>
      <c r="X422" t="s">
        <v>453</v>
      </c>
    </row>
    <row r="423" spans="1:24" x14ac:dyDescent="0.2">
      <c r="A423" t="s">
        <v>5105</v>
      </c>
      <c r="B423" t="s">
        <v>332</v>
      </c>
      <c r="D423" t="s">
        <v>2934</v>
      </c>
      <c r="E423" t="s">
        <v>2935</v>
      </c>
      <c r="G423" t="s">
        <v>4857</v>
      </c>
      <c r="I423" t="s">
        <v>2936</v>
      </c>
      <c r="J423" t="s">
        <v>5106</v>
      </c>
      <c r="K423" t="s">
        <v>5107</v>
      </c>
      <c r="L423" s="2">
        <v>43468</v>
      </c>
      <c r="N423" t="s">
        <v>4886</v>
      </c>
      <c r="P423" t="s">
        <v>5108</v>
      </c>
      <c r="Q423" t="s">
        <v>5109</v>
      </c>
      <c r="R423" s="2">
        <v>42373</v>
      </c>
      <c r="S423" s="2">
        <v>43467</v>
      </c>
      <c r="T423" t="s">
        <v>2939</v>
      </c>
      <c r="V423" s="2">
        <v>36655</v>
      </c>
      <c r="W423" s="2">
        <v>37649</v>
      </c>
      <c r="X423" t="s">
        <v>51</v>
      </c>
    </row>
    <row r="424" spans="1:24" x14ac:dyDescent="0.2">
      <c r="A424" t="s">
        <v>5110</v>
      </c>
      <c r="B424" t="s">
        <v>2863</v>
      </c>
      <c r="D424" t="s">
        <v>2862</v>
      </c>
      <c r="E424" t="s">
        <v>2864</v>
      </c>
      <c r="G424" t="s">
        <v>4857</v>
      </c>
      <c r="I424" t="s">
        <v>2865</v>
      </c>
      <c r="J424" t="s">
        <v>58</v>
      </c>
      <c r="K424" t="s">
        <v>5111</v>
      </c>
      <c r="L424" s="2">
        <v>41640</v>
      </c>
      <c r="O424" t="s">
        <v>67</v>
      </c>
      <c r="P424" t="s">
        <v>5112</v>
      </c>
      <c r="Q424" t="s">
        <v>3555</v>
      </c>
      <c r="R424" s="2">
        <v>41277</v>
      </c>
      <c r="S424" s="2">
        <v>41280</v>
      </c>
      <c r="T424" t="s">
        <v>3460</v>
      </c>
      <c r="V424" s="2">
        <v>40567</v>
      </c>
      <c r="W424" s="2">
        <v>41596</v>
      </c>
      <c r="X424" t="s">
        <v>51</v>
      </c>
    </row>
    <row r="425" spans="1:24" x14ac:dyDescent="0.2">
      <c r="A425" t="s">
        <v>5113</v>
      </c>
      <c r="B425" t="s">
        <v>2863</v>
      </c>
      <c r="D425" t="s">
        <v>2981</v>
      </c>
      <c r="E425" t="s">
        <v>2982</v>
      </c>
      <c r="F425" t="s">
        <v>2983</v>
      </c>
      <c r="G425" t="s">
        <v>5114</v>
      </c>
      <c r="I425" t="s">
        <v>2984</v>
      </c>
      <c r="J425" t="s">
        <v>171</v>
      </c>
      <c r="K425" t="s">
        <v>5115</v>
      </c>
      <c r="L425" s="2">
        <v>43102</v>
      </c>
      <c r="O425" t="s">
        <v>67</v>
      </c>
      <c r="P425" t="s">
        <v>5116</v>
      </c>
      <c r="Q425" t="s">
        <v>5117</v>
      </c>
      <c r="R425" s="2">
        <v>42741</v>
      </c>
      <c r="S425" s="2">
        <v>42743</v>
      </c>
      <c r="T425" t="s">
        <v>3460</v>
      </c>
      <c r="V425" s="2">
        <v>42023</v>
      </c>
      <c r="X425" t="s">
        <v>239</v>
      </c>
    </row>
    <row r="426" spans="1:24" x14ac:dyDescent="0.2">
      <c r="A426" t="s">
        <v>5118</v>
      </c>
      <c r="B426" t="s">
        <v>2350</v>
      </c>
      <c r="D426" t="s">
        <v>2349</v>
      </c>
      <c r="I426" t="s">
        <v>2353</v>
      </c>
      <c r="J426" t="s">
        <v>2354</v>
      </c>
      <c r="K426" t="s">
        <v>5119</v>
      </c>
      <c r="L426" s="2">
        <v>43106</v>
      </c>
      <c r="N426" t="s">
        <v>3494</v>
      </c>
      <c r="P426" t="s">
        <v>355</v>
      </c>
      <c r="Q426" t="s">
        <v>2355</v>
      </c>
      <c r="R426" s="2">
        <v>41648</v>
      </c>
      <c r="S426" s="2">
        <v>43106</v>
      </c>
      <c r="X426" t="s">
        <v>239</v>
      </c>
    </row>
    <row r="427" spans="1:24" x14ac:dyDescent="0.2">
      <c r="A427" t="s">
        <v>5120</v>
      </c>
      <c r="B427" t="s">
        <v>1080</v>
      </c>
      <c r="D427" t="s">
        <v>1079</v>
      </c>
      <c r="E427" t="s">
        <v>1081</v>
      </c>
      <c r="I427" t="s">
        <v>1082</v>
      </c>
      <c r="J427" t="s">
        <v>5121</v>
      </c>
      <c r="K427" t="s">
        <v>5122</v>
      </c>
      <c r="L427" s="2">
        <v>44205</v>
      </c>
      <c r="N427" t="s">
        <v>5123</v>
      </c>
      <c r="O427" t="s">
        <v>1087</v>
      </c>
      <c r="P427" t="s">
        <v>5124</v>
      </c>
      <c r="Q427" t="s">
        <v>5125</v>
      </c>
      <c r="R427" s="2">
        <v>43839</v>
      </c>
      <c r="S427" s="2">
        <v>44204</v>
      </c>
      <c r="V427" s="2">
        <v>37387</v>
      </c>
      <c r="W427" s="2">
        <v>38007</v>
      </c>
      <c r="X427" t="s">
        <v>51</v>
      </c>
    </row>
    <row r="428" spans="1:24" x14ac:dyDescent="0.2">
      <c r="A428" t="s">
        <v>5126</v>
      </c>
      <c r="B428" t="s">
        <v>1458</v>
      </c>
      <c r="D428" t="s">
        <v>1457</v>
      </c>
      <c r="I428" t="s">
        <v>1460</v>
      </c>
      <c r="J428" t="s">
        <v>5127</v>
      </c>
      <c r="K428" t="s">
        <v>5128</v>
      </c>
      <c r="L428" s="2">
        <v>39816</v>
      </c>
      <c r="P428" t="s">
        <v>5129</v>
      </c>
      <c r="Q428" t="s">
        <v>4927</v>
      </c>
      <c r="R428" s="2">
        <v>39455</v>
      </c>
      <c r="V428" s="2">
        <v>33865</v>
      </c>
      <c r="W428" s="2">
        <v>34633</v>
      </c>
      <c r="X428" t="s">
        <v>51</v>
      </c>
    </row>
    <row r="429" spans="1:24" x14ac:dyDescent="0.2">
      <c r="A429" t="s">
        <v>5130</v>
      </c>
      <c r="B429" t="s">
        <v>1458</v>
      </c>
      <c r="D429" t="s">
        <v>1956</v>
      </c>
      <c r="I429" t="s">
        <v>5131</v>
      </c>
      <c r="J429" t="s">
        <v>5132</v>
      </c>
      <c r="K429" t="s">
        <v>3013</v>
      </c>
      <c r="L429" t="s">
        <v>5133</v>
      </c>
      <c r="O429" t="s">
        <v>67</v>
      </c>
      <c r="P429" t="s">
        <v>5134</v>
      </c>
      <c r="Q429" t="s">
        <v>5135</v>
      </c>
      <c r="R429" s="2">
        <v>43105</v>
      </c>
      <c r="V429" s="2">
        <v>33240</v>
      </c>
      <c r="W429" s="2">
        <v>34233</v>
      </c>
      <c r="X429" t="s">
        <v>51</v>
      </c>
    </row>
    <row r="430" spans="1:24" x14ac:dyDescent="0.2">
      <c r="A430" t="s">
        <v>5136</v>
      </c>
      <c r="B430" t="s">
        <v>1458</v>
      </c>
      <c r="D430" t="s">
        <v>3327</v>
      </c>
      <c r="I430" t="s">
        <v>3329</v>
      </c>
      <c r="K430" t="s">
        <v>5137</v>
      </c>
      <c r="V430" s="2">
        <v>33240</v>
      </c>
      <c r="W430" s="2">
        <v>34233</v>
      </c>
      <c r="X430" t="s">
        <v>51</v>
      </c>
    </row>
    <row r="431" spans="1:24" x14ac:dyDescent="0.2">
      <c r="A431" t="s">
        <v>5138</v>
      </c>
      <c r="B431" t="s">
        <v>2445</v>
      </c>
      <c r="D431" t="s">
        <v>2444</v>
      </c>
      <c r="E431" t="s">
        <v>2446</v>
      </c>
      <c r="I431" t="s">
        <v>2447</v>
      </c>
      <c r="J431" t="s">
        <v>2448</v>
      </c>
      <c r="K431" t="s">
        <v>5139</v>
      </c>
      <c r="L431" s="2">
        <v>44562</v>
      </c>
      <c r="O431" t="s">
        <v>402</v>
      </c>
      <c r="P431" t="s">
        <v>5140</v>
      </c>
      <c r="Q431" t="s">
        <v>5141</v>
      </c>
      <c r="R431" s="2">
        <v>43835</v>
      </c>
      <c r="S431" s="2">
        <v>44562</v>
      </c>
      <c r="T431" t="s">
        <v>5142</v>
      </c>
      <c r="V431" s="2">
        <v>42023</v>
      </c>
      <c r="W431" s="2">
        <v>42289</v>
      </c>
      <c r="X431" t="s">
        <v>51</v>
      </c>
    </row>
    <row r="432" spans="1:24" x14ac:dyDescent="0.2">
      <c r="A432" t="s">
        <v>4111</v>
      </c>
      <c r="B432" t="s">
        <v>1221</v>
      </c>
      <c r="D432" t="s">
        <v>2369</v>
      </c>
      <c r="V432" s="2">
        <v>36515</v>
      </c>
      <c r="W432" s="2">
        <v>37298</v>
      </c>
      <c r="X432" t="s">
        <v>51</v>
      </c>
    </row>
    <row r="433" spans="1:24" x14ac:dyDescent="0.2">
      <c r="A433" t="s">
        <v>5143</v>
      </c>
      <c r="B433" t="s">
        <v>2881</v>
      </c>
      <c r="D433" t="s">
        <v>2880</v>
      </c>
      <c r="I433" t="s">
        <v>2882</v>
      </c>
      <c r="J433" t="s">
        <v>5144</v>
      </c>
      <c r="K433" t="s">
        <v>5145</v>
      </c>
      <c r="L433" s="2">
        <v>43109</v>
      </c>
      <c r="O433" t="s">
        <v>1087</v>
      </c>
      <c r="P433" t="s">
        <v>1895</v>
      </c>
      <c r="Q433" t="s">
        <v>5146</v>
      </c>
      <c r="R433" s="2">
        <v>44568</v>
      </c>
      <c r="S433" s="2">
        <v>44570</v>
      </c>
      <c r="T433" t="s">
        <v>5147</v>
      </c>
      <c r="V433" s="2">
        <v>44198</v>
      </c>
      <c r="W433" s="2">
        <v>44773</v>
      </c>
      <c r="X433" t="s">
        <v>51</v>
      </c>
    </row>
    <row r="434" spans="1:24" x14ac:dyDescent="0.2">
      <c r="A434" t="s">
        <v>5148</v>
      </c>
      <c r="B434" t="s">
        <v>2556</v>
      </c>
      <c r="D434" t="s">
        <v>2555</v>
      </c>
      <c r="E434" t="s">
        <v>2557</v>
      </c>
      <c r="G434" t="s">
        <v>5149</v>
      </c>
      <c r="I434" t="s">
        <v>2558</v>
      </c>
      <c r="J434" t="s">
        <v>4266</v>
      </c>
      <c r="K434" t="s">
        <v>4047</v>
      </c>
      <c r="L434" s="2">
        <v>44573</v>
      </c>
      <c r="N434" t="s">
        <v>3460</v>
      </c>
      <c r="O434" t="s">
        <v>67</v>
      </c>
      <c r="P434" t="s">
        <v>631</v>
      </c>
      <c r="Q434" t="s">
        <v>5150</v>
      </c>
      <c r="R434" s="2">
        <v>44570</v>
      </c>
      <c r="S434" s="2">
        <v>44572</v>
      </c>
      <c r="T434" t="s">
        <v>3460</v>
      </c>
      <c r="U434" t="s">
        <v>67</v>
      </c>
      <c r="V434" s="2">
        <v>43843</v>
      </c>
      <c r="W434" s="2">
        <v>44196</v>
      </c>
      <c r="X434" t="s">
        <v>51</v>
      </c>
    </row>
    <row r="435" spans="1:24" x14ac:dyDescent="0.2">
      <c r="A435" t="s">
        <v>5151</v>
      </c>
      <c r="B435" t="s">
        <v>5152</v>
      </c>
      <c r="D435" t="s">
        <v>2202</v>
      </c>
      <c r="E435" t="s">
        <v>2204</v>
      </c>
      <c r="G435" t="s">
        <v>4857</v>
      </c>
      <c r="I435" t="s">
        <v>5153</v>
      </c>
      <c r="J435" t="s">
        <v>5154</v>
      </c>
      <c r="K435" t="s">
        <v>756</v>
      </c>
      <c r="L435" s="2">
        <v>43467</v>
      </c>
      <c r="N435" t="s">
        <v>5155</v>
      </c>
      <c r="O435" t="s">
        <v>67</v>
      </c>
      <c r="P435" t="s">
        <v>2207</v>
      </c>
      <c r="Q435" t="s">
        <v>756</v>
      </c>
      <c r="R435" s="2">
        <v>42380</v>
      </c>
      <c r="T435" t="s">
        <v>5156</v>
      </c>
      <c r="U435" t="s">
        <v>873</v>
      </c>
      <c r="V435" s="2">
        <v>33240</v>
      </c>
      <c r="W435" s="2">
        <v>34236</v>
      </c>
      <c r="X435" t="s">
        <v>51</v>
      </c>
    </row>
    <row r="436" spans="1:24" x14ac:dyDescent="0.2">
      <c r="A436" t="s">
        <v>5157</v>
      </c>
      <c r="B436" t="s">
        <v>5152</v>
      </c>
      <c r="D436" t="s">
        <v>2555</v>
      </c>
      <c r="G436" t="s">
        <v>5149</v>
      </c>
      <c r="I436" t="s">
        <v>5158</v>
      </c>
      <c r="V436" s="2">
        <v>43843</v>
      </c>
      <c r="X436" t="s">
        <v>51</v>
      </c>
    </row>
    <row r="437" spans="1:24" x14ac:dyDescent="0.2">
      <c r="A437" t="s">
        <v>5159</v>
      </c>
      <c r="B437" t="s">
        <v>5160</v>
      </c>
      <c r="D437" t="s">
        <v>372</v>
      </c>
      <c r="E437" t="s">
        <v>374</v>
      </c>
      <c r="G437" t="s">
        <v>4857</v>
      </c>
      <c r="I437" t="s">
        <v>375</v>
      </c>
      <c r="J437" t="s">
        <v>39</v>
      </c>
      <c r="K437" t="s">
        <v>4234</v>
      </c>
      <c r="L437" s="2">
        <v>42005</v>
      </c>
      <c r="N437" t="s">
        <v>5161</v>
      </c>
      <c r="O437" t="s">
        <v>156</v>
      </c>
      <c r="P437" t="s">
        <v>39</v>
      </c>
      <c r="Q437" t="s">
        <v>5162</v>
      </c>
      <c r="R437" t="s">
        <v>5163</v>
      </c>
      <c r="S437" s="2">
        <v>41651</v>
      </c>
      <c r="T437" t="s">
        <v>5161</v>
      </c>
      <c r="U437" t="s">
        <v>156</v>
      </c>
      <c r="V437" s="2">
        <v>37013</v>
      </c>
      <c r="W437" s="2">
        <v>37797</v>
      </c>
      <c r="X437" t="s">
        <v>51</v>
      </c>
    </row>
    <row r="438" spans="1:24" x14ac:dyDescent="0.2">
      <c r="A438" t="s">
        <v>5164</v>
      </c>
      <c r="B438" t="s">
        <v>5160</v>
      </c>
      <c r="D438" t="s">
        <v>574</v>
      </c>
      <c r="E438" t="s">
        <v>575</v>
      </c>
      <c r="G438" t="s">
        <v>5165</v>
      </c>
      <c r="I438" t="s">
        <v>3428</v>
      </c>
      <c r="J438" t="s">
        <v>5166</v>
      </c>
      <c r="K438" t="s">
        <v>153</v>
      </c>
      <c r="L438" s="2">
        <v>43466</v>
      </c>
      <c r="N438" t="s">
        <v>5167</v>
      </c>
      <c r="O438" t="s">
        <v>156</v>
      </c>
      <c r="P438" t="s">
        <v>5166</v>
      </c>
      <c r="Q438" t="s">
        <v>157</v>
      </c>
      <c r="R438" t="s">
        <v>5168</v>
      </c>
      <c r="S438" s="2">
        <v>44929</v>
      </c>
      <c r="T438" t="s">
        <v>5167</v>
      </c>
      <c r="U438" t="s">
        <v>156</v>
      </c>
      <c r="V438" s="2">
        <v>38860</v>
      </c>
      <c r="W438" s="2">
        <v>39882</v>
      </c>
      <c r="X438" t="s">
        <v>51</v>
      </c>
    </row>
    <row r="439" spans="1:24" x14ac:dyDescent="0.2">
      <c r="A439" t="s">
        <v>5169</v>
      </c>
      <c r="B439" t="s">
        <v>5160</v>
      </c>
      <c r="D439" t="s">
        <v>1114</v>
      </c>
      <c r="E439" t="s">
        <v>1115</v>
      </c>
      <c r="G439" t="s">
        <v>4857</v>
      </c>
      <c r="I439" t="s">
        <v>1116</v>
      </c>
      <c r="J439" t="s">
        <v>1118</v>
      </c>
      <c r="K439" t="s">
        <v>5170</v>
      </c>
      <c r="L439" s="2">
        <v>41285</v>
      </c>
      <c r="N439" t="s">
        <v>5171</v>
      </c>
      <c r="O439" t="s">
        <v>536</v>
      </c>
      <c r="P439" t="s">
        <v>5172</v>
      </c>
      <c r="Q439" t="s">
        <v>5173</v>
      </c>
      <c r="R439" s="2">
        <v>41645</v>
      </c>
      <c r="S439" s="2">
        <v>44929</v>
      </c>
      <c r="T439" t="s">
        <v>5174</v>
      </c>
      <c r="U439" t="s">
        <v>536</v>
      </c>
      <c r="V439" s="2">
        <v>37013</v>
      </c>
      <c r="W439" s="2">
        <v>38007</v>
      </c>
      <c r="X439" t="s">
        <v>51</v>
      </c>
    </row>
    <row r="440" spans="1:24" x14ac:dyDescent="0.2">
      <c r="A440" t="s">
        <v>5175</v>
      </c>
      <c r="B440" t="s">
        <v>5160</v>
      </c>
      <c r="D440" t="s">
        <v>1556</v>
      </c>
      <c r="E440" t="s">
        <v>1557</v>
      </c>
      <c r="I440" t="s">
        <v>1558</v>
      </c>
      <c r="J440" t="s">
        <v>5176</v>
      </c>
      <c r="K440" t="s">
        <v>3837</v>
      </c>
      <c r="L440" s="2">
        <v>42378</v>
      </c>
      <c r="N440" t="s">
        <v>5177</v>
      </c>
      <c r="O440" t="s">
        <v>44</v>
      </c>
      <c r="P440" t="s">
        <v>1562</v>
      </c>
      <c r="Q440" t="s">
        <v>5178</v>
      </c>
      <c r="R440" s="2">
        <v>37137</v>
      </c>
      <c r="S440" s="2">
        <v>44929</v>
      </c>
      <c r="T440" t="s">
        <v>5179</v>
      </c>
      <c r="U440" t="s">
        <v>309</v>
      </c>
      <c r="V440" s="2">
        <v>37013</v>
      </c>
      <c r="W440" s="2">
        <v>38007</v>
      </c>
      <c r="X440" t="s">
        <v>51</v>
      </c>
    </row>
    <row r="441" spans="1:24" x14ac:dyDescent="0.2">
      <c r="A441" t="s">
        <v>5180</v>
      </c>
      <c r="B441" t="s">
        <v>5160</v>
      </c>
      <c r="D441" t="s">
        <v>1878</v>
      </c>
      <c r="E441" t="s">
        <v>1879</v>
      </c>
      <c r="G441" t="s">
        <v>4857</v>
      </c>
      <c r="I441" t="s">
        <v>1880</v>
      </c>
      <c r="J441" t="s">
        <v>5181</v>
      </c>
      <c r="K441" t="s">
        <v>5182</v>
      </c>
      <c r="L441" s="2">
        <v>43103</v>
      </c>
      <c r="N441" t="s">
        <v>5183</v>
      </c>
      <c r="O441" t="s">
        <v>452</v>
      </c>
      <c r="P441" t="s">
        <v>5181</v>
      </c>
      <c r="Q441" t="s">
        <v>4913</v>
      </c>
      <c r="R441" s="2">
        <v>42743</v>
      </c>
      <c r="S441" s="2">
        <v>43102</v>
      </c>
      <c r="T441" t="s">
        <v>5183</v>
      </c>
      <c r="U441" t="s">
        <v>452</v>
      </c>
      <c r="V441" s="2">
        <v>36655</v>
      </c>
      <c r="W441" s="2">
        <v>37298</v>
      </c>
      <c r="X441" t="s">
        <v>51</v>
      </c>
    </row>
    <row r="442" spans="1:24" x14ac:dyDescent="0.2">
      <c r="A442" t="s">
        <v>5184</v>
      </c>
      <c r="B442" t="s">
        <v>5160</v>
      </c>
      <c r="D442" t="s">
        <v>2094</v>
      </c>
      <c r="E442" t="s">
        <v>5185</v>
      </c>
      <c r="G442" t="s">
        <v>5186</v>
      </c>
      <c r="I442" t="s">
        <v>2097</v>
      </c>
      <c r="J442" t="s">
        <v>1642</v>
      </c>
      <c r="K442" t="s">
        <v>5187</v>
      </c>
      <c r="L442" s="2">
        <v>44564</v>
      </c>
      <c r="N442" t="s">
        <v>5156</v>
      </c>
      <c r="O442" t="s">
        <v>980</v>
      </c>
      <c r="P442" t="s">
        <v>2098</v>
      </c>
      <c r="Q442" t="s">
        <v>5188</v>
      </c>
      <c r="R442" s="2">
        <v>43107</v>
      </c>
      <c r="S442" s="2">
        <v>43833</v>
      </c>
      <c r="T442" t="s">
        <v>5156</v>
      </c>
      <c r="V442" s="2">
        <v>37013</v>
      </c>
      <c r="W442" s="2">
        <v>38007</v>
      </c>
      <c r="X442" t="s">
        <v>51</v>
      </c>
    </row>
    <row r="443" spans="1:24" x14ac:dyDescent="0.2">
      <c r="A443" t="s">
        <v>5189</v>
      </c>
      <c r="B443" t="s">
        <v>5160</v>
      </c>
      <c r="D443" t="s">
        <v>2405</v>
      </c>
      <c r="G443" t="s">
        <v>5190</v>
      </c>
      <c r="I443" t="s">
        <v>2408</v>
      </c>
      <c r="J443" t="s">
        <v>5191</v>
      </c>
      <c r="K443" t="s">
        <v>5192</v>
      </c>
      <c r="L443" s="2">
        <v>44564</v>
      </c>
      <c r="O443" t="s">
        <v>106</v>
      </c>
      <c r="P443" t="s">
        <v>2410</v>
      </c>
      <c r="Q443" t="s">
        <v>3589</v>
      </c>
      <c r="R443" s="2">
        <v>42739</v>
      </c>
      <c r="S443" s="2">
        <v>43832</v>
      </c>
      <c r="T443" t="s">
        <v>5193</v>
      </c>
      <c r="U443" t="s">
        <v>357</v>
      </c>
      <c r="V443" s="2">
        <v>33240</v>
      </c>
      <c r="W443" s="2">
        <v>33602</v>
      </c>
      <c r="X443" t="s">
        <v>51</v>
      </c>
    </row>
    <row r="444" spans="1:24" x14ac:dyDescent="0.2">
      <c r="A444" t="s">
        <v>5194</v>
      </c>
      <c r="B444" t="s">
        <v>5160</v>
      </c>
      <c r="D444" t="s">
        <v>2560</v>
      </c>
      <c r="I444" t="s">
        <v>2566</v>
      </c>
      <c r="J444" t="s">
        <v>5195</v>
      </c>
      <c r="K444" t="s">
        <v>5196</v>
      </c>
      <c r="L444" s="2">
        <v>43466</v>
      </c>
      <c r="N444" t="s">
        <v>5197</v>
      </c>
      <c r="O444" t="s">
        <v>256</v>
      </c>
      <c r="P444" t="s">
        <v>2563</v>
      </c>
      <c r="Q444" t="s">
        <v>4322</v>
      </c>
      <c r="R444" s="2">
        <v>42736</v>
      </c>
      <c r="S444" s="2">
        <v>43466</v>
      </c>
      <c r="T444" t="s">
        <v>5197</v>
      </c>
      <c r="U444" t="s">
        <v>256</v>
      </c>
      <c r="V444" s="2">
        <v>39476</v>
      </c>
      <c r="W444" s="2">
        <v>39882</v>
      </c>
      <c r="X444" t="s">
        <v>51</v>
      </c>
    </row>
    <row r="445" spans="1:24" x14ac:dyDescent="0.2">
      <c r="A445" t="s">
        <v>5198</v>
      </c>
      <c r="B445" t="s">
        <v>5160</v>
      </c>
      <c r="D445" t="s">
        <v>2672</v>
      </c>
      <c r="E445" t="s">
        <v>2673</v>
      </c>
      <c r="G445" t="s">
        <v>5199</v>
      </c>
      <c r="I445" t="s">
        <v>5200</v>
      </c>
      <c r="J445" t="s">
        <v>5201</v>
      </c>
      <c r="K445" t="s">
        <v>5202</v>
      </c>
      <c r="L445" s="2">
        <v>41640</v>
      </c>
      <c r="N445" t="s">
        <v>5167</v>
      </c>
      <c r="O445" t="s">
        <v>1061</v>
      </c>
      <c r="P445" t="s">
        <v>2790</v>
      </c>
      <c r="Q445" t="s">
        <v>5203</v>
      </c>
      <c r="R445" s="2">
        <v>41521</v>
      </c>
      <c r="S445" t="s">
        <v>5204</v>
      </c>
      <c r="T445" t="s">
        <v>5167</v>
      </c>
      <c r="U445" t="s">
        <v>1061</v>
      </c>
      <c r="V445" s="2">
        <v>35104</v>
      </c>
      <c r="W445" s="2">
        <v>37298</v>
      </c>
      <c r="X445" t="s">
        <v>51</v>
      </c>
    </row>
    <row r="446" spans="1:24" x14ac:dyDescent="0.2">
      <c r="A446" t="s">
        <v>5205</v>
      </c>
      <c r="B446" t="s">
        <v>5160</v>
      </c>
      <c r="D446" t="s">
        <v>3167</v>
      </c>
      <c r="E446" t="s">
        <v>3168</v>
      </c>
      <c r="G446" t="s">
        <v>4857</v>
      </c>
      <c r="I446" t="s">
        <v>5206</v>
      </c>
      <c r="K446" t="s">
        <v>5207</v>
      </c>
      <c r="L446" s="2">
        <v>43473</v>
      </c>
      <c r="N446" t="s">
        <v>5208</v>
      </c>
      <c r="O446" t="s">
        <v>309</v>
      </c>
      <c r="P446" t="s">
        <v>5209</v>
      </c>
      <c r="Q446" t="s">
        <v>4234</v>
      </c>
      <c r="R446" s="2">
        <v>43468</v>
      </c>
      <c r="S446" s="2">
        <v>44929</v>
      </c>
      <c r="T446" t="s">
        <v>5161</v>
      </c>
      <c r="U446" t="s">
        <v>641</v>
      </c>
      <c r="V446" s="2">
        <v>40568</v>
      </c>
      <c r="W446" s="2">
        <v>41079</v>
      </c>
      <c r="X446" t="s">
        <v>51</v>
      </c>
    </row>
    <row r="447" spans="1:24" x14ac:dyDescent="0.2">
      <c r="A447" t="s">
        <v>5210</v>
      </c>
      <c r="B447" t="s">
        <v>5211</v>
      </c>
      <c r="D447" t="s">
        <v>1072</v>
      </c>
      <c r="E447" t="s">
        <v>1074</v>
      </c>
      <c r="G447" t="s">
        <v>5212</v>
      </c>
      <c r="I447" t="s">
        <v>1075</v>
      </c>
      <c r="J447" t="s">
        <v>5213</v>
      </c>
      <c r="V447" s="2">
        <v>43115</v>
      </c>
      <c r="X447" t="s">
        <v>51</v>
      </c>
    </row>
    <row r="448" spans="1:24" x14ac:dyDescent="0.2">
      <c r="A448" t="s">
        <v>5214</v>
      </c>
      <c r="B448" t="s">
        <v>5215</v>
      </c>
      <c r="D448" t="s">
        <v>1645</v>
      </c>
      <c r="G448" t="s">
        <v>4857</v>
      </c>
      <c r="I448" t="s">
        <v>1647</v>
      </c>
      <c r="J448" t="s">
        <v>5216</v>
      </c>
      <c r="K448" t="s">
        <v>5217</v>
      </c>
      <c r="O448" t="s">
        <v>156</v>
      </c>
      <c r="V448" s="2">
        <v>33240</v>
      </c>
      <c r="W448" s="2">
        <v>34233</v>
      </c>
      <c r="X448" t="s">
        <v>51</v>
      </c>
    </row>
    <row r="449" spans="1:24" x14ac:dyDescent="0.2">
      <c r="A449" t="s">
        <v>5218</v>
      </c>
      <c r="B449" t="s">
        <v>5219</v>
      </c>
      <c r="D449" t="s">
        <v>2261</v>
      </c>
      <c r="E449" t="s">
        <v>2263</v>
      </c>
      <c r="I449" t="s">
        <v>2264</v>
      </c>
      <c r="J449" t="s">
        <v>2265</v>
      </c>
      <c r="X449" t="s">
        <v>51</v>
      </c>
    </row>
    <row r="450" spans="1:24" x14ac:dyDescent="0.2">
      <c r="A450" t="s">
        <v>5220</v>
      </c>
      <c r="B450" t="s">
        <v>5221</v>
      </c>
      <c r="D450" t="s">
        <v>2499</v>
      </c>
      <c r="E450" t="s">
        <v>2501</v>
      </c>
      <c r="G450" t="s">
        <v>5222</v>
      </c>
      <c r="I450" t="s">
        <v>2503</v>
      </c>
      <c r="J450" t="s">
        <v>5223</v>
      </c>
      <c r="K450" t="s">
        <v>5224</v>
      </c>
      <c r="L450" s="2">
        <v>42005</v>
      </c>
      <c r="N450" t="s">
        <v>5197</v>
      </c>
      <c r="O450" t="s">
        <v>2507</v>
      </c>
      <c r="P450" t="s">
        <v>5225</v>
      </c>
      <c r="Q450" t="s">
        <v>5226</v>
      </c>
      <c r="R450" s="2">
        <v>41650</v>
      </c>
      <c r="S450" s="2">
        <v>42010</v>
      </c>
      <c r="T450" t="s">
        <v>5227</v>
      </c>
      <c r="U450" t="s">
        <v>2507</v>
      </c>
      <c r="V450" s="2">
        <v>38860</v>
      </c>
      <c r="W450" s="2">
        <v>40197</v>
      </c>
      <c r="X450" t="s">
        <v>51</v>
      </c>
    </row>
    <row r="451" spans="1:24" x14ac:dyDescent="0.2">
      <c r="A451" t="s">
        <v>5228</v>
      </c>
      <c r="B451" t="s">
        <v>5229</v>
      </c>
      <c r="D451" t="s">
        <v>2426</v>
      </c>
      <c r="E451" t="s">
        <v>2428</v>
      </c>
      <c r="G451" t="s">
        <v>5230</v>
      </c>
      <c r="I451" t="s">
        <v>2429</v>
      </c>
      <c r="J451" t="s">
        <v>611</v>
      </c>
      <c r="K451" t="s">
        <v>5231</v>
      </c>
      <c r="L451" s="2">
        <v>42006</v>
      </c>
      <c r="N451" t="s">
        <v>5167</v>
      </c>
      <c r="O451" t="s">
        <v>156</v>
      </c>
      <c r="P451" t="s">
        <v>611</v>
      </c>
      <c r="Q451" t="s">
        <v>3600</v>
      </c>
      <c r="R451" s="2">
        <v>37992</v>
      </c>
      <c r="S451" t="s">
        <v>5232</v>
      </c>
      <c r="T451" t="s">
        <v>5167</v>
      </c>
      <c r="U451" t="s">
        <v>156</v>
      </c>
      <c r="V451" s="2">
        <v>36280</v>
      </c>
      <c r="W451" s="2">
        <v>37313</v>
      </c>
      <c r="X451" t="s">
        <v>51</v>
      </c>
    </row>
    <row r="452" spans="1:24" x14ac:dyDescent="0.2">
      <c r="A452" t="s">
        <v>4878</v>
      </c>
      <c r="B452" t="s">
        <v>5233</v>
      </c>
      <c r="D452" t="s">
        <v>2152</v>
      </c>
      <c r="E452" t="s">
        <v>2154</v>
      </c>
      <c r="G452" t="s">
        <v>4857</v>
      </c>
      <c r="I452" t="s">
        <v>5234</v>
      </c>
      <c r="K452" t="s">
        <v>5235</v>
      </c>
      <c r="L452" s="2">
        <v>42380</v>
      </c>
      <c r="N452" t="s">
        <v>5236</v>
      </c>
      <c r="O452" t="s">
        <v>183</v>
      </c>
      <c r="P452" t="s">
        <v>5116</v>
      </c>
      <c r="Q452" t="s">
        <v>3681</v>
      </c>
      <c r="R452" s="2">
        <v>40794</v>
      </c>
      <c r="S452" s="2">
        <v>42380</v>
      </c>
      <c r="T452" t="s">
        <v>5236</v>
      </c>
      <c r="U452" t="s">
        <v>309</v>
      </c>
      <c r="V452" s="2">
        <v>40113</v>
      </c>
      <c r="W452" s="2">
        <v>40513</v>
      </c>
      <c r="X452" t="s">
        <v>51</v>
      </c>
    </row>
    <row r="453" spans="1:24" x14ac:dyDescent="0.2">
      <c r="A453" t="s">
        <v>5237</v>
      </c>
      <c r="B453" t="s">
        <v>5233</v>
      </c>
      <c r="D453" t="s">
        <v>2314</v>
      </c>
      <c r="E453" t="s">
        <v>2315</v>
      </c>
      <c r="G453" t="s">
        <v>5238</v>
      </c>
      <c r="I453" t="s">
        <v>2316</v>
      </c>
      <c r="J453" t="s">
        <v>58</v>
      </c>
      <c r="K453" t="s">
        <v>3501</v>
      </c>
      <c r="L453" s="2">
        <v>43477</v>
      </c>
      <c r="N453" t="s">
        <v>5239</v>
      </c>
      <c r="O453" t="s">
        <v>67</v>
      </c>
      <c r="V453" s="2">
        <v>41310</v>
      </c>
      <c r="W453" s="2">
        <v>42086</v>
      </c>
      <c r="X453" t="s">
        <v>453</v>
      </c>
    </row>
    <row r="454" spans="1:24" x14ac:dyDescent="0.2">
      <c r="A454" t="s">
        <v>5118</v>
      </c>
      <c r="B454" t="s">
        <v>5240</v>
      </c>
      <c r="D454" t="s">
        <v>2349</v>
      </c>
      <c r="E454" t="s">
        <v>2352</v>
      </c>
      <c r="G454" t="s">
        <v>4857</v>
      </c>
      <c r="I454" t="s">
        <v>5241</v>
      </c>
      <c r="K454" t="s">
        <v>5242</v>
      </c>
      <c r="L454" s="2">
        <v>40544</v>
      </c>
      <c r="N454" t="s">
        <v>5156</v>
      </c>
      <c r="O454" t="s">
        <v>67</v>
      </c>
      <c r="Q454" t="s">
        <v>5243</v>
      </c>
      <c r="R454" t="s">
        <v>5244</v>
      </c>
      <c r="S454" t="s">
        <v>5245</v>
      </c>
      <c r="U454" t="s">
        <v>46</v>
      </c>
      <c r="V454" s="2">
        <v>37387</v>
      </c>
      <c r="W454" s="2">
        <v>38007</v>
      </c>
      <c r="X454" t="s">
        <v>51</v>
      </c>
    </row>
    <row r="455" spans="1:24" x14ac:dyDescent="0.2">
      <c r="A455" t="s">
        <v>5246</v>
      </c>
      <c r="B455" t="s">
        <v>5240</v>
      </c>
      <c r="D455" t="s">
        <v>3083</v>
      </c>
      <c r="G455" t="s">
        <v>4857</v>
      </c>
      <c r="I455" t="s">
        <v>5247</v>
      </c>
      <c r="K455" t="s">
        <v>5248</v>
      </c>
      <c r="L455" s="2">
        <v>43471</v>
      </c>
      <c r="M455" s="2">
        <v>43473</v>
      </c>
      <c r="N455" t="s">
        <v>5249</v>
      </c>
      <c r="O455" t="s">
        <v>309</v>
      </c>
      <c r="P455" t="s">
        <v>837</v>
      </c>
      <c r="Q455" t="s">
        <v>5250</v>
      </c>
      <c r="R455" s="2">
        <v>43107</v>
      </c>
      <c r="S455" s="2">
        <v>43108</v>
      </c>
      <c r="T455" t="s">
        <v>5249</v>
      </c>
      <c r="U455" t="s">
        <v>309</v>
      </c>
      <c r="V455" s="2">
        <v>42886</v>
      </c>
      <c r="W455" s="2">
        <v>43850</v>
      </c>
      <c r="X455" t="s">
        <v>51</v>
      </c>
    </row>
    <row r="456" spans="1:24" x14ac:dyDescent="0.2">
      <c r="A456" t="s">
        <v>5251</v>
      </c>
      <c r="B456" t="s">
        <v>5252</v>
      </c>
      <c r="D456" t="s">
        <v>2700</v>
      </c>
      <c r="G456" t="s">
        <v>4857</v>
      </c>
      <c r="I456" t="s">
        <v>2704</v>
      </c>
      <c r="J456" t="s">
        <v>75</v>
      </c>
      <c r="K456" t="s">
        <v>5253</v>
      </c>
      <c r="L456" s="2">
        <v>44562</v>
      </c>
      <c r="N456" t="s">
        <v>5254</v>
      </c>
      <c r="O456" t="s">
        <v>388</v>
      </c>
      <c r="P456" t="s">
        <v>2537</v>
      </c>
      <c r="Q456" t="s">
        <v>5255</v>
      </c>
      <c r="R456" s="2">
        <v>42743</v>
      </c>
      <c r="S456" t="s">
        <v>5256</v>
      </c>
      <c r="T456" t="s">
        <v>5254</v>
      </c>
      <c r="U456" t="s">
        <v>873</v>
      </c>
      <c r="V456" s="2">
        <v>41666</v>
      </c>
      <c r="W456" s="2">
        <v>42786</v>
      </c>
      <c r="X456" t="s">
        <v>51</v>
      </c>
    </row>
    <row r="457" spans="1:24" x14ac:dyDescent="0.2">
      <c r="A457" t="s">
        <v>5257</v>
      </c>
      <c r="B457" t="s">
        <v>5258</v>
      </c>
      <c r="D457" t="s">
        <v>2546</v>
      </c>
      <c r="I457" t="s">
        <v>2548</v>
      </c>
      <c r="J457" t="s">
        <v>5259</v>
      </c>
      <c r="X457" t="s">
        <v>51</v>
      </c>
    </row>
    <row r="458" spans="1:24" x14ac:dyDescent="0.2">
      <c r="A458" t="s">
        <v>5260</v>
      </c>
      <c r="B458" t="s">
        <v>5261</v>
      </c>
      <c r="D458" t="s">
        <v>1478</v>
      </c>
      <c r="E458" t="s">
        <v>1480</v>
      </c>
      <c r="G458" t="s">
        <v>4857</v>
      </c>
      <c r="I458" t="s">
        <v>1481</v>
      </c>
      <c r="J458" t="s">
        <v>1482</v>
      </c>
      <c r="K458" t="s">
        <v>5262</v>
      </c>
      <c r="L458" s="2">
        <v>42745</v>
      </c>
      <c r="N458" t="s">
        <v>5156</v>
      </c>
      <c r="O458" t="s">
        <v>1486</v>
      </c>
      <c r="P458" t="s">
        <v>2307</v>
      </c>
      <c r="Q458" t="s">
        <v>633</v>
      </c>
      <c r="R458" t="s">
        <v>5163</v>
      </c>
      <c r="S458" t="s">
        <v>5263</v>
      </c>
      <c r="T458" t="s">
        <v>5156</v>
      </c>
      <c r="U458" t="s">
        <v>1486</v>
      </c>
      <c r="V458" s="2">
        <v>36655</v>
      </c>
      <c r="W458" s="2">
        <v>37313</v>
      </c>
      <c r="X458" t="s">
        <v>51</v>
      </c>
    </row>
    <row r="459" spans="1:24" x14ac:dyDescent="0.2">
      <c r="A459" t="s">
        <v>5264</v>
      </c>
      <c r="B459" t="s">
        <v>5265</v>
      </c>
      <c r="D459" t="s">
        <v>2682</v>
      </c>
      <c r="G459" t="s">
        <v>4857</v>
      </c>
      <c r="I459" t="s">
        <v>2684</v>
      </c>
      <c r="J459" t="s">
        <v>5266</v>
      </c>
      <c r="K459" t="s">
        <v>5267</v>
      </c>
      <c r="O459" t="s">
        <v>325</v>
      </c>
      <c r="V459" s="2">
        <v>33419</v>
      </c>
      <c r="W459" s="2">
        <v>34233</v>
      </c>
      <c r="X459" t="s">
        <v>51</v>
      </c>
    </row>
    <row r="460" spans="1:24" x14ac:dyDescent="0.2">
      <c r="A460" t="s">
        <v>5268</v>
      </c>
      <c r="B460" t="s">
        <v>5269</v>
      </c>
      <c r="D460" t="s">
        <v>1293</v>
      </c>
      <c r="G460" t="s">
        <v>5270</v>
      </c>
      <c r="I460" t="s">
        <v>1296</v>
      </c>
      <c r="J460" t="s">
        <v>1299</v>
      </c>
      <c r="K460" t="s">
        <v>5182</v>
      </c>
      <c r="L460" s="2">
        <v>43473</v>
      </c>
      <c r="N460" t="s">
        <v>5271</v>
      </c>
      <c r="O460" t="s">
        <v>581</v>
      </c>
      <c r="P460" t="s">
        <v>786</v>
      </c>
      <c r="Q460" t="s">
        <v>5272</v>
      </c>
      <c r="R460" t="s">
        <v>5273</v>
      </c>
      <c r="S460" s="2">
        <v>43472</v>
      </c>
      <c r="T460" t="s">
        <v>5271</v>
      </c>
      <c r="U460" t="s">
        <v>581</v>
      </c>
      <c r="V460" s="2">
        <v>37387</v>
      </c>
      <c r="W460" s="2">
        <v>38007</v>
      </c>
      <c r="X460" t="s">
        <v>51</v>
      </c>
    </row>
    <row r="461" spans="1:24" x14ac:dyDescent="0.2">
      <c r="A461" t="s">
        <v>5274</v>
      </c>
      <c r="B461" t="s">
        <v>5275</v>
      </c>
      <c r="D461" t="s">
        <v>1747</v>
      </c>
      <c r="G461" t="s">
        <v>4857</v>
      </c>
      <c r="I461" t="s">
        <v>5276</v>
      </c>
      <c r="J461" t="s">
        <v>1751</v>
      </c>
      <c r="K461" t="s">
        <v>5277</v>
      </c>
      <c r="L461" s="2">
        <v>42006</v>
      </c>
      <c r="N461" t="s">
        <v>5156</v>
      </c>
      <c r="O461" t="s">
        <v>536</v>
      </c>
      <c r="P461" t="s">
        <v>5278</v>
      </c>
      <c r="Q461" t="s">
        <v>5279</v>
      </c>
      <c r="R461" s="2">
        <v>41642</v>
      </c>
      <c r="S461" t="s">
        <v>5232</v>
      </c>
      <c r="T461" t="s">
        <v>5156</v>
      </c>
      <c r="U461" t="s">
        <v>1053</v>
      </c>
      <c r="V461" s="2">
        <v>33240</v>
      </c>
      <c r="W461" s="2">
        <v>33602</v>
      </c>
      <c r="X461" t="s">
        <v>51</v>
      </c>
    </row>
    <row r="462" spans="1:24" x14ac:dyDescent="0.2">
      <c r="A462" t="s">
        <v>5280</v>
      </c>
      <c r="B462" t="s">
        <v>5275</v>
      </c>
      <c r="D462" t="s">
        <v>1868</v>
      </c>
      <c r="G462" t="s">
        <v>4857</v>
      </c>
      <c r="I462" t="s">
        <v>1870</v>
      </c>
      <c r="J462" t="s">
        <v>5281</v>
      </c>
      <c r="K462" t="s">
        <v>5282</v>
      </c>
      <c r="L462" t="s">
        <v>5283</v>
      </c>
      <c r="N462" t="s">
        <v>5156</v>
      </c>
      <c r="O462" t="s">
        <v>46</v>
      </c>
      <c r="V462" s="2">
        <v>33419</v>
      </c>
      <c r="W462" s="2">
        <v>34233</v>
      </c>
      <c r="X462" t="s">
        <v>51</v>
      </c>
    </row>
    <row r="463" spans="1:24" x14ac:dyDescent="0.2">
      <c r="A463" t="s">
        <v>5284</v>
      </c>
      <c r="B463" t="s">
        <v>5275</v>
      </c>
      <c r="D463" t="s">
        <v>2696</v>
      </c>
      <c r="E463" t="s">
        <v>2697</v>
      </c>
      <c r="G463" t="s">
        <v>4857</v>
      </c>
      <c r="I463" t="s">
        <v>2698</v>
      </c>
      <c r="J463" t="s">
        <v>1004</v>
      </c>
      <c r="K463" t="s">
        <v>5285</v>
      </c>
      <c r="L463" s="2">
        <v>43109</v>
      </c>
      <c r="N463" t="s">
        <v>5156</v>
      </c>
      <c r="O463" t="s">
        <v>156</v>
      </c>
      <c r="P463" t="s">
        <v>2699</v>
      </c>
      <c r="Q463" t="s">
        <v>5286</v>
      </c>
      <c r="R463" s="2">
        <v>39448</v>
      </c>
      <c r="S463" t="s">
        <v>5287</v>
      </c>
      <c r="U463" t="s">
        <v>156</v>
      </c>
      <c r="V463" s="2">
        <v>33240</v>
      </c>
      <c r="W463" s="2">
        <v>33602</v>
      </c>
      <c r="X463" t="s">
        <v>51</v>
      </c>
    </row>
    <row r="464" spans="1:24" x14ac:dyDescent="0.2">
      <c r="A464" t="s">
        <v>5288</v>
      </c>
      <c r="B464" t="s">
        <v>5275</v>
      </c>
      <c r="D464" t="s">
        <v>2785</v>
      </c>
      <c r="G464" t="s">
        <v>4857</v>
      </c>
      <c r="V464" s="2">
        <v>33419</v>
      </c>
      <c r="W464" s="2">
        <v>34233</v>
      </c>
      <c r="X464" t="s">
        <v>51</v>
      </c>
    </row>
    <row r="465" spans="1:24" x14ac:dyDescent="0.2">
      <c r="A465" t="s">
        <v>5289</v>
      </c>
      <c r="B465" t="s">
        <v>5290</v>
      </c>
      <c r="D465" t="s">
        <v>340</v>
      </c>
      <c r="G465" t="s">
        <v>4857</v>
      </c>
      <c r="V465" s="2">
        <v>33240</v>
      </c>
      <c r="W465" s="2">
        <v>33602</v>
      </c>
      <c r="X465" t="s">
        <v>51</v>
      </c>
    </row>
    <row r="466" spans="1:24" x14ac:dyDescent="0.2">
      <c r="A466" t="s">
        <v>5291</v>
      </c>
      <c r="B466" t="s">
        <v>5290</v>
      </c>
      <c r="D466" t="s">
        <v>1246</v>
      </c>
      <c r="E466" t="s">
        <v>1247</v>
      </c>
      <c r="G466" t="s">
        <v>5292</v>
      </c>
      <c r="I466" t="s">
        <v>1248</v>
      </c>
      <c r="K466" t="s">
        <v>5293</v>
      </c>
      <c r="L466" s="2">
        <v>43475</v>
      </c>
      <c r="N466" t="s">
        <v>5294</v>
      </c>
      <c r="O466" t="s">
        <v>452</v>
      </c>
      <c r="P466" t="s">
        <v>1249</v>
      </c>
      <c r="Q466" t="s">
        <v>5295</v>
      </c>
      <c r="R466" s="2">
        <v>40794</v>
      </c>
      <c r="S466" t="s">
        <v>5296</v>
      </c>
      <c r="T466" t="s">
        <v>5294</v>
      </c>
      <c r="U466" t="s">
        <v>452</v>
      </c>
      <c r="V466" s="2">
        <v>37797</v>
      </c>
      <c r="W466" s="2">
        <v>38356</v>
      </c>
      <c r="X466" t="s">
        <v>51</v>
      </c>
    </row>
    <row r="467" spans="1:24" x14ac:dyDescent="0.2">
      <c r="A467" t="s">
        <v>5297</v>
      </c>
      <c r="B467" t="s">
        <v>5290</v>
      </c>
      <c r="D467" t="s">
        <v>1401</v>
      </c>
      <c r="E467" t="s">
        <v>1402</v>
      </c>
      <c r="G467" t="s">
        <v>4857</v>
      </c>
      <c r="I467" t="s">
        <v>1403</v>
      </c>
      <c r="J467" t="s">
        <v>5298</v>
      </c>
      <c r="K467" t="s">
        <v>5299</v>
      </c>
      <c r="L467" s="2">
        <v>43470</v>
      </c>
      <c r="M467" s="2">
        <v>43477</v>
      </c>
      <c r="N467" t="s">
        <v>5161</v>
      </c>
      <c r="O467" t="s">
        <v>1053</v>
      </c>
      <c r="P467" t="s">
        <v>1405</v>
      </c>
      <c r="Q467" t="s">
        <v>4495</v>
      </c>
      <c r="R467" s="2">
        <v>37137</v>
      </c>
      <c r="S467" s="2">
        <v>43112</v>
      </c>
      <c r="T467" t="s">
        <v>5167</v>
      </c>
      <c r="U467" t="s">
        <v>641</v>
      </c>
      <c r="V467" s="2">
        <v>41310</v>
      </c>
      <c r="W467" s="2">
        <v>41680</v>
      </c>
      <c r="X467" t="s">
        <v>51</v>
      </c>
    </row>
    <row r="468" spans="1:24" x14ac:dyDescent="0.2">
      <c r="A468" t="s">
        <v>5300</v>
      </c>
      <c r="B468" t="s">
        <v>5290</v>
      </c>
      <c r="D468" t="s">
        <v>1777</v>
      </c>
      <c r="G468" t="s">
        <v>4857</v>
      </c>
      <c r="I468" t="s">
        <v>1780</v>
      </c>
      <c r="J468" t="s">
        <v>1781</v>
      </c>
      <c r="K468" t="s">
        <v>5301</v>
      </c>
      <c r="L468" s="2">
        <v>42370</v>
      </c>
      <c r="N468" t="s">
        <v>5156</v>
      </c>
      <c r="O468" t="s">
        <v>1784</v>
      </c>
      <c r="P468" t="s">
        <v>5302</v>
      </c>
      <c r="Q468" t="s">
        <v>4382</v>
      </c>
      <c r="R468" s="2">
        <v>42737</v>
      </c>
      <c r="S468" s="2">
        <v>44929</v>
      </c>
      <c r="T468" t="s">
        <v>5156</v>
      </c>
      <c r="V468" s="2">
        <v>33419</v>
      </c>
      <c r="W468" s="2">
        <v>34233</v>
      </c>
      <c r="X468" t="s">
        <v>51</v>
      </c>
    </row>
    <row r="469" spans="1:24" x14ac:dyDescent="0.2">
      <c r="A469" t="s">
        <v>5303</v>
      </c>
      <c r="B469" t="s">
        <v>5290</v>
      </c>
      <c r="D469" t="s">
        <v>2305</v>
      </c>
      <c r="G469" t="s">
        <v>4857</v>
      </c>
      <c r="I469" t="s">
        <v>2306</v>
      </c>
      <c r="J469" t="s">
        <v>5304</v>
      </c>
      <c r="K469" t="s">
        <v>5305</v>
      </c>
      <c r="L469" t="s">
        <v>5306</v>
      </c>
      <c r="N469" t="s">
        <v>5156</v>
      </c>
      <c r="P469" t="s">
        <v>2308</v>
      </c>
      <c r="Q469" t="s">
        <v>5307</v>
      </c>
      <c r="R469" s="2">
        <v>39814</v>
      </c>
      <c r="S469" s="2">
        <v>4297</v>
      </c>
      <c r="T469" t="s">
        <v>5156</v>
      </c>
      <c r="V469" s="2">
        <v>32464</v>
      </c>
      <c r="W469" s="2">
        <v>34233</v>
      </c>
      <c r="X469" t="s">
        <v>51</v>
      </c>
    </row>
    <row r="470" spans="1:24" x14ac:dyDescent="0.2">
      <c r="A470" t="s">
        <v>5308</v>
      </c>
      <c r="B470" t="s">
        <v>5290</v>
      </c>
      <c r="D470" t="s">
        <v>2524</v>
      </c>
      <c r="G470" t="s">
        <v>4857</v>
      </c>
      <c r="V470" s="2">
        <v>32596</v>
      </c>
      <c r="W470" s="2">
        <v>34233</v>
      </c>
      <c r="X470" t="s">
        <v>51</v>
      </c>
    </row>
    <row r="471" spans="1:24" x14ac:dyDescent="0.2">
      <c r="A471" t="s">
        <v>5309</v>
      </c>
      <c r="B471" t="s">
        <v>5290</v>
      </c>
      <c r="D471" t="s">
        <v>3348</v>
      </c>
      <c r="G471" t="s">
        <v>4857</v>
      </c>
      <c r="V471" s="2">
        <v>33240</v>
      </c>
      <c r="W471" s="2">
        <v>34233</v>
      </c>
      <c r="X471" t="s">
        <v>51</v>
      </c>
    </row>
    <row r="472" spans="1:24" x14ac:dyDescent="0.2">
      <c r="A472" t="s">
        <v>5310</v>
      </c>
      <c r="B472" t="s">
        <v>5311</v>
      </c>
      <c r="C472" t="s">
        <v>5312</v>
      </c>
      <c r="D472" t="s">
        <v>1028</v>
      </c>
      <c r="G472" t="s">
        <v>4857</v>
      </c>
      <c r="I472" t="s">
        <v>5313</v>
      </c>
      <c r="K472" t="s">
        <v>5314</v>
      </c>
      <c r="L472" s="2">
        <v>44197</v>
      </c>
      <c r="N472" t="s">
        <v>5156</v>
      </c>
      <c r="V472" s="2">
        <v>35104</v>
      </c>
      <c r="W472" s="2">
        <v>35394</v>
      </c>
      <c r="X472" t="s">
        <v>51</v>
      </c>
    </row>
    <row r="473" spans="1:24" x14ac:dyDescent="0.2">
      <c r="A473" t="s">
        <v>5315</v>
      </c>
      <c r="B473" t="s">
        <v>5316</v>
      </c>
      <c r="D473" t="s">
        <v>590</v>
      </c>
      <c r="E473" t="s">
        <v>592</v>
      </c>
      <c r="G473" t="s">
        <v>5317</v>
      </c>
      <c r="I473" t="s">
        <v>593</v>
      </c>
      <c r="J473" t="s">
        <v>5318</v>
      </c>
      <c r="K473" t="s">
        <v>5319</v>
      </c>
      <c r="L473" s="2">
        <v>43112</v>
      </c>
      <c r="O473" t="s">
        <v>309</v>
      </c>
      <c r="P473" t="s">
        <v>595</v>
      </c>
      <c r="Q473" t="s">
        <v>3655</v>
      </c>
      <c r="R473" t="s">
        <v>5320</v>
      </c>
      <c r="S473" t="s">
        <v>5256</v>
      </c>
      <c r="T473" t="s">
        <v>5321</v>
      </c>
      <c r="U473" t="s">
        <v>67</v>
      </c>
      <c r="V473" s="2">
        <v>36655</v>
      </c>
      <c r="W473" s="2">
        <v>38007</v>
      </c>
      <c r="X473" t="s">
        <v>51</v>
      </c>
    </row>
    <row r="474" spans="1:24" x14ac:dyDescent="0.2">
      <c r="A474" t="s">
        <v>5322</v>
      </c>
      <c r="B474" t="s">
        <v>5316</v>
      </c>
      <c r="D474" t="s">
        <v>1864</v>
      </c>
      <c r="G474" t="s">
        <v>4857</v>
      </c>
      <c r="I474" t="s">
        <v>1866</v>
      </c>
      <c r="J474" t="s">
        <v>5323</v>
      </c>
      <c r="X474" t="s">
        <v>51</v>
      </c>
    </row>
    <row r="475" spans="1:24" x14ac:dyDescent="0.2">
      <c r="A475" t="s">
        <v>5324</v>
      </c>
      <c r="B475" t="s">
        <v>5325</v>
      </c>
      <c r="D475" t="s">
        <v>2380</v>
      </c>
      <c r="E475" t="s">
        <v>2382</v>
      </c>
      <c r="G475" t="s">
        <v>4857</v>
      </c>
      <c r="I475" t="s">
        <v>5326</v>
      </c>
      <c r="J475" t="s">
        <v>5327</v>
      </c>
      <c r="K475" t="s">
        <v>3501</v>
      </c>
      <c r="L475" s="2">
        <v>44571</v>
      </c>
      <c r="N475" t="s">
        <v>5161</v>
      </c>
      <c r="O475" t="s">
        <v>44</v>
      </c>
      <c r="P475" t="s">
        <v>269</v>
      </c>
      <c r="Q475" t="s">
        <v>2355</v>
      </c>
      <c r="R475" s="2">
        <v>37260</v>
      </c>
      <c r="S475" s="2">
        <v>371</v>
      </c>
      <c r="U475" t="s">
        <v>156</v>
      </c>
      <c r="V475" s="2">
        <v>33240</v>
      </c>
      <c r="W475" s="2">
        <v>34233</v>
      </c>
      <c r="X475" t="s">
        <v>51</v>
      </c>
    </row>
    <row r="476" spans="1:24" x14ac:dyDescent="0.2">
      <c r="A476" t="s">
        <v>5328</v>
      </c>
      <c r="B476" t="s">
        <v>5329</v>
      </c>
      <c r="D476" t="s">
        <v>2825</v>
      </c>
      <c r="E476" t="s">
        <v>2827</v>
      </c>
      <c r="G476" t="s">
        <v>4857</v>
      </c>
      <c r="I476" t="s">
        <v>2828</v>
      </c>
      <c r="J476" t="s">
        <v>5330</v>
      </c>
      <c r="K476" t="s">
        <v>4148</v>
      </c>
      <c r="L476" s="2">
        <v>41644</v>
      </c>
      <c r="N476" t="s">
        <v>5236</v>
      </c>
      <c r="O476" t="s">
        <v>536</v>
      </c>
      <c r="P476" t="s">
        <v>171</v>
      </c>
      <c r="Q476" t="s">
        <v>3839</v>
      </c>
      <c r="R476" s="2">
        <v>36161</v>
      </c>
      <c r="S476" s="2">
        <v>4114</v>
      </c>
      <c r="T476" t="s">
        <v>5236</v>
      </c>
      <c r="U476" t="s">
        <v>67</v>
      </c>
      <c r="V476" s="2">
        <v>34658</v>
      </c>
      <c r="W476" s="2">
        <v>35185</v>
      </c>
      <c r="X476" t="s">
        <v>51</v>
      </c>
    </row>
    <row r="477" spans="1:24" x14ac:dyDescent="0.2">
      <c r="A477" t="s">
        <v>5331</v>
      </c>
      <c r="B477" t="s">
        <v>5332</v>
      </c>
      <c r="D477" t="s">
        <v>770</v>
      </c>
      <c r="G477" t="s">
        <v>4857</v>
      </c>
      <c r="I477" t="s">
        <v>773</v>
      </c>
      <c r="V477" s="2">
        <v>43843</v>
      </c>
      <c r="X477" t="s">
        <v>51</v>
      </c>
    </row>
    <row r="478" spans="1:24" x14ac:dyDescent="0.2">
      <c r="A478" t="s">
        <v>5333</v>
      </c>
      <c r="B478" t="s">
        <v>5332</v>
      </c>
      <c r="D478" t="s">
        <v>1689</v>
      </c>
      <c r="E478" t="s">
        <v>1690</v>
      </c>
      <c r="G478" t="s">
        <v>4857</v>
      </c>
      <c r="I478" t="s">
        <v>1691</v>
      </c>
      <c r="J478" t="s">
        <v>5334</v>
      </c>
      <c r="K478" t="s">
        <v>4387</v>
      </c>
      <c r="L478" s="2">
        <v>42381</v>
      </c>
      <c r="N478" t="s">
        <v>5156</v>
      </c>
      <c r="O478" t="s">
        <v>156</v>
      </c>
      <c r="P478" t="s">
        <v>578</v>
      </c>
      <c r="Q478" t="s">
        <v>4387</v>
      </c>
      <c r="R478" s="2">
        <v>42373</v>
      </c>
      <c r="S478" s="2">
        <v>42380</v>
      </c>
      <c r="T478" t="s">
        <v>5156</v>
      </c>
      <c r="U478" t="s">
        <v>581</v>
      </c>
      <c r="V478" s="2">
        <v>33419</v>
      </c>
      <c r="W478" s="2">
        <v>34233</v>
      </c>
      <c r="X478" t="s">
        <v>51</v>
      </c>
    </row>
    <row r="479" spans="1:24" x14ac:dyDescent="0.2">
      <c r="A479" t="s">
        <v>5335</v>
      </c>
      <c r="B479" t="s">
        <v>5336</v>
      </c>
      <c r="D479" t="s">
        <v>2257</v>
      </c>
      <c r="E479" t="s">
        <v>2259</v>
      </c>
      <c r="G479" t="s">
        <v>5337</v>
      </c>
      <c r="I479" t="s">
        <v>2260</v>
      </c>
      <c r="J479" t="s">
        <v>631</v>
      </c>
      <c r="K479" t="s">
        <v>5150</v>
      </c>
      <c r="L479" s="2">
        <v>44563</v>
      </c>
      <c r="N479" t="s">
        <v>5156</v>
      </c>
      <c r="O479" t="s">
        <v>67</v>
      </c>
      <c r="P479" t="s">
        <v>2070</v>
      </c>
      <c r="Q479" t="s">
        <v>5338</v>
      </c>
      <c r="R479" s="2">
        <v>43471</v>
      </c>
      <c r="S479" s="2">
        <v>43473</v>
      </c>
      <c r="T479" t="s">
        <v>5339</v>
      </c>
      <c r="U479" t="s">
        <v>402</v>
      </c>
      <c r="V479" s="2">
        <v>42886</v>
      </c>
      <c r="W479" s="2">
        <v>43354</v>
      </c>
      <c r="X479" t="s">
        <v>51</v>
      </c>
    </row>
    <row r="480" spans="1:24" x14ac:dyDescent="0.2">
      <c r="A480" t="s">
        <v>5340</v>
      </c>
      <c r="B480" t="s">
        <v>5341</v>
      </c>
      <c r="D480" t="s">
        <v>1268</v>
      </c>
      <c r="E480" t="s">
        <v>1270</v>
      </c>
      <c r="G480" t="s">
        <v>4857</v>
      </c>
      <c r="I480" t="s">
        <v>5342</v>
      </c>
      <c r="J480" t="s">
        <v>1272</v>
      </c>
      <c r="K480" t="s">
        <v>5343</v>
      </c>
      <c r="L480" s="2">
        <v>42009</v>
      </c>
      <c r="N480" t="s">
        <v>5171</v>
      </c>
      <c r="O480" t="s">
        <v>106</v>
      </c>
      <c r="V480" s="2">
        <v>36655</v>
      </c>
      <c r="W480" s="2">
        <v>37313</v>
      </c>
      <c r="X480" t="s">
        <v>51</v>
      </c>
    </row>
    <row r="481" spans="1:24" x14ac:dyDescent="0.2">
      <c r="A481" t="s">
        <v>5344</v>
      </c>
      <c r="B481" t="s">
        <v>5345</v>
      </c>
      <c r="D481" t="s">
        <v>1168</v>
      </c>
      <c r="G481" t="s">
        <v>4200</v>
      </c>
      <c r="I481" t="s">
        <v>1165</v>
      </c>
      <c r="V481" s="2">
        <v>43480</v>
      </c>
      <c r="X481" t="s">
        <v>51</v>
      </c>
    </row>
    <row r="482" spans="1:24" x14ac:dyDescent="0.2">
      <c r="A482" t="s">
        <v>5346</v>
      </c>
      <c r="B482" t="s">
        <v>5345</v>
      </c>
      <c r="D482" t="s">
        <v>1973</v>
      </c>
      <c r="G482" t="s">
        <v>4857</v>
      </c>
      <c r="I482" t="s">
        <v>1971</v>
      </c>
      <c r="J482" t="s">
        <v>5347</v>
      </c>
      <c r="V482" s="2">
        <v>43626</v>
      </c>
      <c r="W482" s="2">
        <v>43879</v>
      </c>
      <c r="X482" t="s">
        <v>51</v>
      </c>
    </row>
    <row r="483" spans="1:24" x14ac:dyDescent="0.2">
      <c r="A483" t="s">
        <v>5348</v>
      </c>
      <c r="B483" t="s">
        <v>5345</v>
      </c>
      <c r="D483" t="s">
        <v>2085</v>
      </c>
      <c r="G483" t="s">
        <v>4857</v>
      </c>
      <c r="V483" s="2">
        <v>43480</v>
      </c>
      <c r="W483" s="2">
        <v>43861</v>
      </c>
      <c r="X483" t="s">
        <v>51</v>
      </c>
    </row>
    <row r="484" spans="1:24" x14ac:dyDescent="0.2">
      <c r="A484" t="s">
        <v>5349</v>
      </c>
      <c r="B484" t="s">
        <v>5345</v>
      </c>
      <c r="D484" t="s">
        <v>2400</v>
      </c>
      <c r="E484" t="s">
        <v>2401</v>
      </c>
      <c r="G484" t="s">
        <v>5350</v>
      </c>
      <c r="I484" t="s">
        <v>5351</v>
      </c>
      <c r="J484" t="s">
        <v>1981</v>
      </c>
      <c r="K484" t="s">
        <v>5352</v>
      </c>
      <c r="L484" s="2">
        <v>40547</v>
      </c>
      <c r="N484" t="s">
        <v>5156</v>
      </c>
      <c r="O484" t="s">
        <v>309</v>
      </c>
      <c r="P484" t="s">
        <v>1981</v>
      </c>
      <c r="Q484" t="s">
        <v>4561</v>
      </c>
      <c r="R484" s="2">
        <v>40822</v>
      </c>
      <c r="S484" s="2">
        <v>551</v>
      </c>
      <c r="T484" t="s">
        <v>5156</v>
      </c>
      <c r="U484" t="s">
        <v>309</v>
      </c>
      <c r="V484" s="2">
        <v>37312</v>
      </c>
      <c r="W484" s="2">
        <v>38007</v>
      </c>
      <c r="X484" t="s">
        <v>51</v>
      </c>
    </row>
    <row r="485" spans="1:24" x14ac:dyDescent="0.2">
      <c r="A485" t="s">
        <v>5353</v>
      </c>
      <c r="B485" t="s">
        <v>5354</v>
      </c>
      <c r="D485" t="s">
        <v>1133</v>
      </c>
      <c r="G485" t="s">
        <v>4857</v>
      </c>
      <c r="I485" t="s">
        <v>1136</v>
      </c>
      <c r="J485" t="s">
        <v>1138</v>
      </c>
      <c r="K485" t="s">
        <v>5355</v>
      </c>
      <c r="L485" s="2">
        <v>44563</v>
      </c>
      <c r="N485" t="s">
        <v>5167</v>
      </c>
      <c r="O485" t="s">
        <v>1140</v>
      </c>
      <c r="P485" t="s">
        <v>5356</v>
      </c>
      <c r="Q485" t="s">
        <v>4053</v>
      </c>
      <c r="R485" s="2">
        <v>42742</v>
      </c>
      <c r="S485" s="2">
        <v>43832</v>
      </c>
      <c r="T485" t="s">
        <v>5167</v>
      </c>
      <c r="U485" t="s">
        <v>1140</v>
      </c>
      <c r="V485" s="2">
        <v>34074</v>
      </c>
      <c r="W485" s="2">
        <v>34347</v>
      </c>
      <c r="X485" t="s">
        <v>51</v>
      </c>
    </row>
    <row r="486" spans="1:24" x14ac:dyDescent="0.2">
      <c r="A486" t="s">
        <v>5357</v>
      </c>
      <c r="B486" t="s">
        <v>5358</v>
      </c>
      <c r="D486" t="s">
        <v>888</v>
      </c>
      <c r="E486" t="s">
        <v>5359</v>
      </c>
      <c r="G486" t="s">
        <v>4857</v>
      </c>
      <c r="I486" t="s">
        <v>891</v>
      </c>
      <c r="J486" t="s">
        <v>895</v>
      </c>
      <c r="K486" t="s">
        <v>5360</v>
      </c>
      <c r="L486" s="2">
        <v>44562</v>
      </c>
      <c r="N486" t="s">
        <v>5361</v>
      </c>
      <c r="O486" t="s">
        <v>641</v>
      </c>
      <c r="P486" t="s">
        <v>5362</v>
      </c>
      <c r="Q486" t="s">
        <v>5363</v>
      </c>
      <c r="R486" t="s">
        <v>5364</v>
      </c>
      <c r="S486" s="2">
        <v>44929</v>
      </c>
      <c r="T486" t="s">
        <v>5361</v>
      </c>
      <c r="U486" t="s">
        <v>641</v>
      </c>
      <c r="V486" s="2">
        <v>39602</v>
      </c>
      <c r="W486" s="2">
        <v>40889</v>
      </c>
      <c r="X486" t="s">
        <v>453</v>
      </c>
    </row>
    <row r="487" spans="1:24" x14ac:dyDescent="0.2">
      <c r="A487" t="s">
        <v>5365</v>
      </c>
      <c r="B487" t="s">
        <v>3966</v>
      </c>
      <c r="D487" t="s">
        <v>956</v>
      </c>
      <c r="E487" t="s">
        <v>958</v>
      </c>
      <c r="G487" t="s">
        <v>3968</v>
      </c>
      <c r="I487" t="s">
        <v>960</v>
      </c>
      <c r="V487" s="2">
        <v>43626</v>
      </c>
      <c r="W487" s="2">
        <v>44627</v>
      </c>
      <c r="X487" t="s">
        <v>51</v>
      </c>
    </row>
    <row r="488" spans="1:24" x14ac:dyDescent="0.2">
      <c r="A488" t="s">
        <v>5366</v>
      </c>
      <c r="B488" t="s">
        <v>3966</v>
      </c>
      <c r="D488" t="s">
        <v>1872</v>
      </c>
      <c r="E488" t="s">
        <v>1873</v>
      </c>
      <c r="G488" t="s">
        <v>4857</v>
      </c>
      <c r="I488" t="s">
        <v>1875</v>
      </c>
      <c r="J488" t="s">
        <v>5367</v>
      </c>
      <c r="V488" s="2">
        <v>42886</v>
      </c>
      <c r="W488" s="2">
        <v>43774</v>
      </c>
      <c r="X488" t="s">
        <v>51</v>
      </c>
    </row>
    <row r="489" spans="1:24" x14ac:dyDescent="0.2">
      <c r="A489" t="s">
        <v>5368</v>
      </c>
      <c r="B489" t="s">
        <v>3966</v>
      </c>
      <c r="D489" t="s">
        <v>2300</v>
      </c>
      <c r="E489" t="s">
        <v>2301</v>
      </c>
      <c r="G489" t="s">
        <v>5369</v>
      </c>
      <c r="I489" t="s">
        <v>5370</v>
      </c>
      <c r="J489" t="s">
        <v>2303</v>
      </c>
      <c r="K489" t="s">
        <v>4148</v>
      </c>
      <c r="L489" s="2">
        <v>42379</v>
      </c>
      <c r="N489" t="s">
        <v>5156</v>
      </c>
      <c r="O489" t="s">
        <v>1486</v>
      </c>
      <c r="P489" t="s">
        <v>2304</v>
      </c>
      <c r="Q489" t="s">
        <v>4148</v>
      </c>
      <c r="R489" s="2">
        <v>41646</v>
      </c>
      <c r="S489" s="2">
        <v>42378</v>
      </c>
      <c r="T489" t="s">
        <v>5156</v>
      </c>
      <c r="U489" t="s">
        <v>309</v>
      </c>
      <c r="V489" s="2">
        <v>36655</v>
      </c>
      <c r="W489" s="2">
        <v>37649</v>
      </c>
      <c r="X489" t="s">
        <v>68</v>
      </c>
    </row>
    <row r="490" spans="1:24" x14ac:dyDescent="0.2">
      <c r="A490" t="s">
        <v>5371</v>
      </c>
      <c r="B490" t="s">
        <v>3966</v>
      </c>
      <c r="D490" t="s">
        <v>2519</v>
      </c>
      <c r="E490" t="s">
        <v>2520</v>
      </c>
      <c r="G490" t="s">
        <v>5372</v>
      </c>
      <c r="I490" t="s">
        <v>2521</v>
      </c>
      <c r="J490" t="s">
        <v>2522</v>
      </c>
      <c r="K490" t="s">
        <v>153</v>
      </c>
      <c r="L490" s="2">
        <v>44568</v>
      </c>
      <c r="N490" t="s">
        <v>5373</v>
      </c>
      <c r="O490" t="s">
        <v>4272</v>
      </c>
      <c r="V490" s="2">
        <v>36871</v>
      </c>
      <c r="W490" s="2">
        <v>38007</v>
      </c>
      <c r="X490" t="s">
        <v>51</v>
      </c>
    </row>
    <row r="491" spans="1:24" x14ac:dyDescent="0.2">
      <c r="A491" t="s">
        <v>5374</v>
      </c>
      <c r="B491" t="s">
        <v>3966</v>
      </c>
      <c r="D491" t="s">
        <v>2667</v>
      </c>
      <c r="E491" t="s">
        <v>2668</v>
      </c>
      <c r="G491" t="s">
        <v>5375</v>
      </c>
      <c r="I491" t="s">
        <v>2669</v>
      </c>
      <c r="J491" t="s">
        <v>5376</v>
      </c>
      <c r="K491" t="s">
        <v>3556</v>
      </c>
      <c r="L491" s="2">
        <v>44562</v>
      </c>
      <c r="N491" t="s">
        <v>5156</v>
      </c>
      <c r="O491" t="s">
        <v>156</v>
      </c>
      <c r="P491" t="s">
        <v>230</v>
      </c>
      <c r="Q491" t="s">
        <v>5377</v>
      </c>
      <c r="R491" s="2">
        <v>42744</v>
      </c>
      <c r="S491" s="2">
        <v>42744</v>
      </c>
      <c r="T491" t="s">
        <v>5161</v>
      </c>
      <c r="U491" t="s">
        <v>156</v>
      </c>
      <c r="V491" s="2">
        <v>42751</v>
      </c>
      <c r="W491" s="2">
        <v>43213</v>
      </c>
      <c r="X491" t="s">
        <v>51</v>
      </c>
    </row>
    <row r="492" spans="1:24" x14ac:dyDescent="0.2">
      <c r="A492" t="s">
        <v>5378</v>
      </c>
      <c r="B492" t="s">
        <v>3966</v>
      </c>
      <c r="D492" t="s">
        <v>2757</v>
      </c>
      <c r="I492" t="s">
        <v>5379</v>
      </c>
      <c r="J492" t="s">
        <v>5380</v>
      </c>
      <c r="X492" t="s">
        <v>51</v>
      </c>
    </row>
    <row r="493" spans="1:24" x14ac:dyDescent="0.2">
      <c r="A493" t="s">
        <v>5381</v>
      </c>
      <c r="B493" t="s">
        <v>3966</v>
      </c>
      <c r="D493" t="s">
        <v>2891</v>
      </c>
      <c r="E493" t="s">
        <v>2898</v>
      </c>
      <c r="G493" t="s">
        <v>4857</v>
      </c>
      <c r="I493" t="s">
        <v>2899</v>
      </c>
      <c r="J493" t="s">
        <v>5382</v>
      </c>
      <c r="K493" t="s">
        <v>5383</v>
      </c>
      <c r="L493" s="2">
        <v>43473</v>
      </c>
      <c r="N493" t="s">
        <v>5384</v>
      </c>
      <c r="O493" t="s">
        <v>309</v>
      </c>
      <c r="P493" t="s">
        <v>5385</v>
      </c>
      <c r="Q493" t="s">
        <v>64</v>
      </c>
      <c r="R493" s="2">
        <v>43471</v>
      </c>
      <c r="S493" s="2">
        <v>44929</v>
      </c>
      <c r="T493" t="s">
        <v>5386</v>
      </c>
      <c r="U493" t="s">
        <v>67</v>
      </c>
      <c r="V493" s="2">
        <v>36280</v>
      </c>
      <c r="W493" s="2">
        <v>36584</v>
      </c>
      <c r="X493" t="s">
        <v>51</v>
      </c>
    </row>
    <row r="494" spans="1:24" x14ac:dyDescent="0.2">
      <c r="A494" t="s">
        <v>5387</v>
      </c>
      <c r="B494" t="s">
        <v>3966</v>
      </c>
      <c r="D494" t="s">
        <v>2916</v>
      </c>
      <c r="G494" t="s">
        <v>4857</v>
      </c>
      <c r="V494" s="2">
        <v>43480</v>
      </c>
      <c r="W494" s="2">
        <v>43803</v>
      </c>
      <c r="X494" t="s">
        <v>51</v>
      </c>
    </row>
    <row r="495" spans="1:24" x14ac:dyDescent="0.2">
      <c r="A495" t="s">
        <v>5388</v>
      </c>
      <c r="B495" t="s">
        <v>3966</v>
      </c>
      <c r="D495" t="s">
        <v>3263</v>
      </c>
      <c r="E495" t="s">
        <v>3264</v>
      </c>
      <c r="I495" t="s">
        <v>3265</v>
      </c>
      <c r="J495" t="s">
        <v>5389</v>
      </c>
      <c r="K495" t="s">
        <v>5390</v>
      </c>
      <c r="L495" s="2">
        <v>42378</v>
      </c>
      <c r="N495" t="s">
        <v>5391</v>
      </c>
      <c r="O495" t="s">
        <v>106</v>
      </c>
      <c r="P495" t="s">
        <v>5392</v>
      </c>
      <c r="Q495" t="s">
        <v>5393</v>
      </c>
      <c r="R495" t="s">
        <v>5394</v>
      </c>
      <c r="S495" s="2">
        <v>44929</v>
      </c>
      <c r="T495" t="s">
        <v>5395</v>
      </c>
      <c r="U495" t="s">
        <v>106</v>
      </c>
      <c r="V495" s="2">
        <v>38475</v>
      </c>
      <c r="W495" s="2">
        <v>38860</v>
      </c>
      <c r="X495" t="s">
        <v>51</v>
      </c>
    </row>
    <row r="496" spans="1:24" x14ac:dyDescent="0.2">
      <c r="A496" t="s">
        <v>5396</v>
      </c>
      <c r="B496" t="s">
        <v>5397</v>
      </c>
      <c r="D496" t="s">
        <v>468</v>
      </c>
      <c r="E496" t="s">
        <v>470</v>
      </c>
      <c r="G496" t="s">
        <v>5398</v>
      </c>
      <c r="I496" t="s">
        <v>3427</v>
      </c>
      <c r="J496" t="s">
        <v>5399</v>
      </c>
      <c r="K496" t="s">
        <v>153</v>
      </c>
      <c r="L496" s="2">
        <v>41640</v>
      </c>
      <c r="N496" t="s">
        <v>5161</v>
      </c>
      <c r="O496" t="s">
        <v>214</v>
      </c>
      <c r="P496" t="s">
        <v>5400</v>
      </c>
      <c r="Q496" t="s">
        <v>3837</v>
      </c>
      <c r="R496" t="s">
        <v>5401</v>
      </c>
      <c r="S496" s="2">
        <v>44929</v>
      </c>
      <c r="T496" t="s">
        <v>5161</v>
      </c>
      <c r="U496" t="s">
        <v>3019</v>
      </c>
      <c r="V496" s="2">
        <v>38896</v>
      </c>
      <c r="W496" s="2">
        <v>39371</v>
      </c>
      <c r="X496" t="s">
        <v>51</v>
      </c>
    </row>
    <row r="497" spans="1:24" x14ac:dyDescent="0.2">
      <c r="A497" t="s">
        <v>5402</v>
      </c>
      <c r="B497" t="s">
        <v>5397</v>
      </c>
      <c r="D497" t="s">
        <v>2495</v>
      </c>
      <c r="E497" t="s">
        <v>2496</v>
      </c>
      <c r="G497" t="s">
        <v>4857</v>
      </c>
      <c r="I497" t="s">
        <v>2497</v>
      </c>
      <c r="J497" t="s">
        <v>2498</v>
      </c>
      <c r="K497" t="s">
        <v>5403</v>
      </c>
      <c r="L497" s="2">
        <v>43467</v>
      </c>
      <c r="N497" t="s">
        <v>5156</v>
      </c>
      <c r="O497" t="s">
        <v>873</v>
      </c>
      <c r="P497" t="s">
        <v>2498</v>
      </c>
      <c r="Q497" t="s">
        <v>5404</v>
      </c>
      <c r="R497" s="2">
        <v>41284</v>
      </c>
      <c r="S497" s="2">
        <v>43466</v>
      </c>
      <c r="T497" t="s">
        <v>5156</v>
      </c>
      <c r="U497" t="s">
        <v>873</v>
      </c>
      <c r="V497" s="2">
        <v>33240</v>
      </c>
      <c r="W497" s="2">
        <v>33602</v>
      </c>
      <c r="X497" t="s">
        <v>51</v>
      </c>
    </row>
    <row r="498" spans="1:24" x14ac:dyDescent="0.2">
      <c r="A498" t="s">
        <v>5405</v>
      </c>
      <c r="B498" t="s">
        <v>5397</v>
      </c>
      <c r="D498" t="s">
        <v>2560</v>
      </c>
      <c r="I498" t="s">
        <v>2566</v>
      </c>
      <c r="J498" t="s">
        <v>2563</v>
      </c>
      <c r="K498" t="s">
        <v>5196</v>
      </c>
      <c r="L498" s="2">
        <v>43466</v>
      </c>
      <c r="N498" t="s">
        <v>5197</v>
      </c>
      <c r="O498" t="s">
        <v>256</v>
      </c>
      <c r="P498" t="s">
        <v>2563</v>
      </c>
      <c r="Q498" t="s">
        <v>4322</v>
      </c>
      <c r="R498" s="2">
        <v>42736</v>
      </c>
      <c r="S498" s="2">
        <v>43466</v>
      </c>
      <c r="T498" t="s">
        <v>5197</v>
      </c>
      <c r="U498" t="s">
        <v>256</v>
      </c>
      <c r="V498" s="2">
        <v>39476</v>
      </c>
      <c r="W498" s="2">
        <v>39882</v>
      </c>
      <c r="X498" t="s">
        <v>51</v>
      </c>
    </row>
    <row r="499" spans="1:24" x14ac:dyDescent="0.2">
      <c r="A499" t="s">
        <v>5406</v>
      </c>
      <c r="B499" t="s">
        <v>5407</v>
      </c>
      <c r="D499" t="s">
        <v>264</v>
      </c>
      <c r="E499" t="s">
        <v>266</v>
      </c>
      <c r="G499" t="s">
        <v>4857</v>
      </c>
      <c r="I499" t="s">
        <v>267</v>
      </c>
      <c r="J499" t="s">
        <v>5408</v>
      </c>
      <c r="V499" s="2">
        <v>33240</v>
      </c>
      <c r="W499" s="2">
        <v>33602</v>
      </c>
      <c r="X499" t="s">
        <v>51</v>
      </c>
    </row>
    <row r="500" spans="1:24" x14ac:dyDescent="0.2">
      <c r="A500" t="s">
        <v>5409</v>
      </c>
      <c r="B500" t="s">
        <v>5407</v>
      </c>
      <c r="D500" t="s">
        <v>642</v>
      </c>
      <c r="E500" t="s">
        <v>644</v>
      </c>
      <c r="G500" t="s">
        <v>4857</v>
      </c>
      <c r="I500" t="s">
        <v>645</v>
      </c>
      <c r="J500" t="s">
        <v>5410</v>
      </c>
      <c r="K500" t="s">
        <v>3493</v>
      </c>
      <c r="L500" s="2">
        <v>42376</v>
      </c>
      <c r="N500" t="s">
        <v>5156</v>
      </c>
      <c r="O500" t="s">
        <v>67</v>
      </c>
      <c r="P500" t="s">
        <v>171</v>
      </c>
      <c r="Q500" t="s">
        <v>5411</v>
      </c>
      <c r="R500" s="2">
        <v>41457</v>
      </c>
      <c r="S500" s="2">
        <v>42375</v>
      </c>
      <c r="U500" t="s">
        <v>67</v>
      </c>
      <c r="V500" s="2">
        <v>33000</v>
      </c>
      <c r="W500" s="2">
        <v>34233</v>
      </c>
      <c r="X500" t="s">
        <v>157</v>
      </c>
    </row>
    <row r="501" spans="1:24" x14ac:dyDescent="0.2">
      <c r="A501" t="s">
        <v>5412</v>
      </c>
      <c r="B501" t="s">
        <v>5413</v>
      </c>
      <c r="D501" t="s">
        <v>1885</v>
      </c>
      <c r="E501" t="s">
        <v>1887</v>
      </c>
      <c r="G501" t="s">
        <v>5414</v>
      </c>
      <c r="I501" t="s">
        <v>5415</v>
      </c>
      <c r="J501" t="s">
        <v>1889</v>
      </c>
      <c r="K501" t="s">
        <v>3501</v>
      </c>
      <c r="L501" s="2">
        <v>43476</v>
      </c>
      <c r="N501" t="s">
        <v>5416</v>
      </c>
      <c r="O501" t="s">
        <v>67</v>
      </c>
      <c r="P501" t="s">
        <v>4266</v>
      </c>
      <c r="Q501" t="s">
        <v>3501</v>
      </c>
      <c r="R501" s="2">
        <v>43469</v>
      </c>
      <c r="S501" s="2">
        <v>43475</v>
      </c>
      <c r="T501" t="s">
        <v>5417</v>
      </c>
      <c r="U501" t="s">
        <v>67</v>
      </c>
      <c r="V501" s="2">
        <v>41310</v>
      </c>
      <c r="W501" s="2">
        <v>42128</v>
      </c>
      <c r="X501" t="s">
        <v>51</v>
      </c>
    </row>
    <row r="502" spans="1:24" x14ac:dyDescent="0.2">
      <c r="A502" t="s">
        <v>5418</v>
      </c>
      <c r="B502" t="s">
        <v>5419</v>
      </c>
      <c r="D502" t="s">
        <v>3272</v>
      </c>
      <c r="E502" t="s">
        <v>3274</v>
      </c>
      <c r="G502" t="s">
        <v>5420</v>
      </c>
      <c r="I502" t="s">
        <v>5421</v>
      </c>
      <c r="J502" t="s">
        <v>5422</v>
      </c>
      <c r="K502" t="s">
        <v>3717</v>
      </c>
      <c r="L502" s="2">
        <v>43101</v>
      </c>
      <c r="N502" t="s">
        <v>5156</v>
      </c>
      <c r="O502" t="s">
        <v>357</v>
      </c>
      <c r="P502" t="s">
        <v>2632</v>
      </c>
      <c r="Q502" t="s">
        <v>4259</v>
      </c>
      <c r="R502" s="2">
        <v>42373</v>
      </c>
      <c r="S502" s="2">
        <v>44929</v>
      </c>
      <c r="T502" t="s">
        <v>5156</v>
      </c>
      <c r="U502" t="s">
        <v>214</v>
      </c>
      <c r="V502" s="2">
        <v>41666</v>
      </c>
      <c r="W502" s="2">
        <v>41771</v>
      </c>
      <c r="X502" t="s">
        <v>51</v>
      </c>
    </row>
    <row r="503" spans="1:24" x14ac:dyDescent="0.2">
      <c r="A503" t="s">
        <v>5423</v>
      </c>
      <c r="B503" t="s">
        <v>5424</v>
      </c>
      <c r="D503" t="s">
        <v>2390</v>
      </c>
      <c r="E503" t="s">
        <v>2392</v>
      </c>
      <c r="G503" t="s">
        <v>5425</v>
      </c>
      <c r="I503" t="s">
        <v>2393</v>
      </c>
      <c r="J503" t="s">
        <v>2395</v>
      </c>
      <c r="K503" t="s">
        <v>5426</v>
      </c>
      <c r="L503" s="2">
        <v>42372</v>
      </c>
      <c r="N503" t="s">
        <v>5156</v>
      </c>
      <c r="O503" t="s">
        <v>67</v>
      </c>
      <c r="P503" t="s">
        <v>5427</v>
      </c>
      <c r="Q503" t="s">
        <v>5428</v>
      </c>
      <c r="R503" t="s">
        <v>5320</v>
      </c>
      <c r="S503" s="2">
        <v>4330</v>
      </c>
      <c r="T503" t="s">
        <v>5156</v>
      </c>
      <c r="U503" t="s">
        <v>44</v>
      </c>
      <c r="V503" s="2">
        <v>38356</v>
      </c>
      <c r="W503" s="2">
        <v>38860</v>
      </c>
      <c r="X503" t="s">
        <v>51</v>
      </c>
    </row>
    <row r="504" spans="1:24" x14ac:dyDescent="0.2">
      <c r="A504" t="s">
        <v>5429</v>
      </c>
      <c r="B504" t="s">
        <v>5430</v>
      </c>
      <c r="D504" t="s">
        <v>2121</v>
      </c>
      <c r="G504" t="s">
        <v>4857</v>
      </c>
      <c r="I504" t="s">
        <v>2124</v>
      </c>
      <c r="J504" t="s">
        <v>2125</v>
      </c>
      <c r="K504" t="s">
        <v>5235</v>
      </c>
      <c r="L504" s="2">
        <v>44565</v>
      </c>
      <c r="N504" t="s">
        <v>5156</v>
      </c>
      <c r="O504" t="s">
        <v>2127</v>
      </c>
      <c r="P504" t="s">
        <v>2125</v>
      </c>
      <c r="Q504" t="s">
        <v>3812</v>
      </c>
      <c r="R504" s="2">
        <v>37626</v>
      </c>
      <c r="S504" s="2">
        <v>3664</v>
      </c>
      <c r="T504" t="s">
        <v>5156</v>
      </c>
      <c r="U504" t="s">
        <v>2127</v>
      </c>
      <c r="V504" s="2">
        <v>33419</v>
      </c>
      <c r="W504" s="2">
        <v>34233</v>
      </c>
      <c r="X504" t="s">
        <v>51</v>
      </c>
    </row>
    <row r="505" spans="1:24" x14ac:dyDescent="0.2">
      <c r="A505" t="s">
        <v>5431</v>
      </c>
      <c r="B505" t="s">
        <v>5432</v>
      </c>
      <c r="D505" t="s">
        <v>107</v>
      </c>
      <c r="E505" t="s">
        <v>109</v>
      </c>
      <c r="G505" t="s">
        <v>5433</v>
      </c>
      <c r="I505" t="s">
        <v>111</v>
      </c>
      <c r="J505" t="s">
        <v>5434</v>
      </c>
      <c r="K505" t="s">
        <v>5435</v>
      </c>
      <c r="L505" s="2">
        <v>43469</v>
      </c>
      <c r="N505" t="s">
        <v>5436</v>
      </c>
      <c r="O505" t="s">
        <v>67</v>
      </c>
      <c r="P505" t="s">
        <v>5437</v>
      </c>
      <c r="Q505" t="s">
        <v>5438</v>
      </c>
      <c r="R505" s="2">
        <v>43105</v>
      </c>
      <c r="S505" s="2">
        <v>44929</v>
      </c>
      <c r="U505" t="s">
        <v>106</v>
      </c>
      <c r="V505" s="2">
        <v>37387</v>
      </c>
      <c r="X505" t="s">
        <v>69</v>
      </c>
    </row>
    <row r="506" spans="1:24" x14ac:dyDescent="0.2">
      <c r="A506" t="s">
        <v>5439</v>
      </c>
      <c r="B506" t="s">
        <v>5440</v>
      </c>
      <c r="D506" t="s">
        <v>247</v>
      </c>
      <c r="E506" t="s">
        <v>249</v>
      </c>
      <c r="G506" t="s">
        <v>5441</v>
      </c>
      <c r="I506" t="s">
        <v>250</v>
      </c>
      <c r="J506" t="s">
        <v>251</v>
      </c>
      <c r="K506" t="s">
        <v>4321</v>
      </c>
      <c r="L506" s="2">
        <v>41279</v>
      </c>
      <c r="N506" t="s">
        <v>5442</v>
      </c>
      <c r="O506" t="s">
        <v>183</v>
      </c>
      <c r="P506" t="s">
        <v>5443</v>
      </c>
      <c r="Q506" t="s">
        <v>1955</v>
      </c>
      <c r="R506" s="2">
        <v>41279</v>
      </c>
      <c r="S506" s="2">
        <v>42374</v>
      </c>
      <c r="U506" t="s">
        <v>256</v>
      </c>
      <c r="V506" s="2">
        <v>38732</v>
      </c>
      <c r="W506" s="2">
        <v>39083</v>
      </c>
      <c r="X506" t="s">
        <v>51</v>
      </c>
    </row>
    <row r="507" spans="1:24" x14ac:dyDescent="0.2">
      <c r="A507" t="s">
        <v>5444</v>
      </c>
      <c r="B507" t="s">
        <v>5440</v>
      </c>
      <c r="D507" t="s">
        <v>524</v>
      </c>
      <c r="X507" t="s">
        <v>51</v>
      </c>
    </row>
    <row r="508" spans="1:24" x14ac:dyDescent="0.2">
      <c r="A508" t="s">
        <v>5445</v>
      </c>
      <c r="B508" t="s">
        <v>5440</v>
      </c>
      <c r="D508" t="s">
        <v>708</v>
      </c>
      <c r="E508" t="s">
        <v>709</v>
      </c>
      <c r="G508" t="s">
        <v>5446</v>
      </c>
      <c r="I508" t="s">
        <v>710</v>
      </c>
      <c r="J508" t="s">
        <v>711</v>
      </c>
      <c r="K508" t="s">
        <v>5447</v>
      </c>
      <c r="L508" s="2">
        <v>40911</v>
      </c>
      <c r="N508" t="s">
        <v>5156</v>
      </c>
      <c r="O508" t="s">
        <v>214</v>
      </c>
      <c r="P508" t="s">
        <v>712</v>
      </c>
      <c r="Q508" t="s">
        <v>5448</v>
      </c>
      <c r="R508" s="2">
        <v>40822</v>
      </c>
      <c r="T508" t="s">
        <v>5156</v>
      </c>
      <c r="U508" t="s">
        <v>46</v>
      </c>
      <c r="V508" s="2">
        <v>36280</v>
      </c>
      <c r="W508" s="2">
        <v>37298</v>
      </c>
      <c r="X508" t="s">
        <v>51</v>
      </c>
    </row>
    <row r="509" spans="1:24" x14ac:dyDescent="0.2">
      <c r="A509" t="s">
        <v>5449</v>
      </c>
      <c r="B509" t="s">
        <v>5440</v>
      </c>
      <c r="D509" t="s">
        <v>1392</v>
      </c>
      <c r="G509" t="s">
        <v>4857</v>
      </c>
      <c r="I509" t="s">
        <v>1394</v>
      </c>
      <c r="J509" t="s">
        <v>58</v>
      </c>
      <c r="K509" t="s">
        <v>4267</v>
      </c>
      <c r="N509" t="s">
        <v>5339</v>
      </c>
      <c r="O509" t="s">
        <v>67</v>
      </c>
      <c r="P509" t="s">
        <v>631</v>
      </c>
      <c r="Q509" t="s">
        <v>5450</v>
      </c>
      <c r="R509" s="2">
        <v>43468</v>
      </c>
      <c r="S509" s="2">
        <v>43468</v>
      </c>
      <c r="T509" t="s">
        <v>5156</v>
      </c>
      <c r="U509" t="s">
        <v>67</v>
      </c>
      <c r="V509" s="2">
        <v>42886</v>
      </c>
      <c r="W509" s="2">
        <v>44196</v>
      </c>
      <c r="X509" t="s">
        <v>51</v>
      </c>
    </row>
    <row r="510" spans="1:24" x14ac:dyDescent="0.2">
      <c r="A510" t="s">
        <v>5451</v>
      </c>
      <c r="B510" t="s">
        <v>5440</v>
      </c>
      <c r="D510" t="s">
        <v>2567</v>
      </c>
      <c r="E510" t="s">
        <v>2568</v>
      </c>
      <c r="I510" t="s">
        <v>2569</v>
      </c>
      <c r="J510" t="s">
        <v>368</v>
      </c>
      <c r="K510" t="s">
        <v>3501</v>
      </c>
      <c r="L510" s="2">
        <v>44563</v>
      </c>
      <c r="N510" t="s">
        <v>5156</v>
      </c>
      <c r="O510" t="s">
        <v>67</v>
      </c>
      <c r="P510" t="s">
        <v>368</v>
      </c>
      <c r="Q510" t="s">
        <v>51</v>
      </c>
      <c r="R510" s="2">
        <v>43467</v>
      </c>
      <c r="S510" s="2">
        <v>43832</v>
      </c>
      <c r="T510" t="s">
        <v>5156</v>
      </c>
      <c r="U510" t="s">
        <v>67</v>
      </c>
      <c r="V510" s="2">
        <v>43115</v>
      </c>
      <c r="W510" s="2">
        <v>43805</v>
      </c>
      <c r="X510" t="s">
        <v>69</v>
      </c>
    </row>
    <row r="511" spans="1:24" x14ac:dyDescent="0.2">
      <c r="A511" t="s">
        <v>5452</v>
      </c>
      <c r="B511" t="s">
        <v>5453</v>
      </c>
      <c r="D511" t="s">
        <v>431</v>
      </c>
      <c r="I511" t="s">
        <v>434</v>
      </c>
      <c r="J511" t="s">
        <v>5454</v>
      </c>
      <c r="X511" t="s">
        <v>51</v>
      </c>
    </row>
    <row r="512" spans="1:24" x14ac:dyDescent="0.2">
      <c r="A512" t="s">
        <v>5455</v>
      </c>
      <c r="B512" t="s">
        <v>5453</v>
      </c>
      <c r="D512" t="s">
        <v>2146</v>
      </c>
      <c r="E512" t="s">
        <v>2147</v>
      </c>
      <c r="G512" t="s">
        <v>4857</v>
      </c>
      <c r="I512" t="s">
        <v>2148</v>
      </c>
      <c r="J512" t="s">
        <v>58</v>
      </c>
      <c r="K512" t="s">
        <v>212</v>
      </c>
      <c r="L512" s="2">
        <v>43109</v>
      </c>
      <c r="N512" t="s">
        <v>5156</v>
      </c>
      <c r="O512" t="s">
        <v>67</v>
      </c>
      <c r="P512" t="s">
        <v>2149</v>
      </c>
      <c r="Q512" t="s">
        <v>5456</v>
      </c>
      <c r="R512" s="2">
        <v>42740</v>
      </c>
      <c r="S512" s="2">
        <v>42743</v>
      </c>
      <c r="T512" t="s">
        <v>5457</v>
      </c>
      <c r="U512" t="s">
        <v>44</v>
      </c>
      <c r="V512" s="2">
        <v>42513</v>
      </c>
      <c r="W512" s="2">
        <v>43527</v>
      </c>
      <c r="X512" t="s">
        <v>51</v>
      </c>
    </row>
    <row r="513" spans="1:24" x14ac:dyDescent="0.2">
      <c r="A513" t="s">
        <v>5458</v>
      </c>
      <c r="B513" t="s">
        <v>5459</v>
      </c>
      <c r="D513" t="s">
        <v>2855</v>
      </c>
      <c r="E513" t="s">
        <v>2857</v>
      </c>
      <c r="G513" t="s">
        <v>5460</v>
      </c>
      <c r="I513" t="s">
        <v>2858</v>
      </c>
      <c r="J513" t="s">
        <v>2859</v>
      </c>
      <c r="K513" t="s">
        <v>4927</v>
      </c>
      <c r="L513" s="2">
        <v>41280</v>
      </c>
      <c r="N513" t="s">
        <v>5161</v>
      </c>
      <c r="O513" t="s">
        <v>2861</v>
      </c>
      <c r="P513" t="s">
        <v>2860</v>
      </c>
      <c r="Q513" t="s">
        <v>2355</v>
      </c>
      <c r="R513" s="2">
        <v>40765</v>
      </c>
      <c r="S513" s="2">
        <v>41282</v>
      </c>
      <c r="U513" t="s">
        <v>2861</v>
      </c>
      <c r="V513" s="2">
        <v>36280</v>
      </c>
      <c r="W513" s="2">
        <v>37649</v>
      </c>
      <c r="X513" t="s">
        <v>51</v>
      </c>
    </row>
    <row r="514" spans="1:24" x14ac:dyDescent="0.2">
      <c r="A514" t="s">
        <v>5461</v>
      </c>
      <c r="B514" t="s">
        <v>5462</v>
      </c>
      <c r="D514" t="s">
        <v>240</v>
      </c>
      <c r="I514" t="s">
        <v>243</v>
      </c>
      <c r="J514" t="s">
        <v>245</v>
      </c>
      <c r="V514" s="2">
        <v>43480</v>
      </c>
      <c r="W514" s="2">
        <v>44627</v>
      </c>
      <c r="X514" t="s">
        <v>51</v>
      </c>
    </row>
    <row r="515" spans="1:24" x14ac:dyDescent="0.2">
      <c r="A515" t="s">
        <v>5463</v>
      </c>
      <c r="B515" t="s">
        <v>5462</v>
      </c>
      <c r="D515" t="s">
        <v>2461</v>
      </c>
      <c r="G515" t="s">
        <v>4857</v>
      </c>
      <c r="I515" t="s">
        <v>5464</v>
      </c>
      <c r="J515" t="s">
        <v>5465</v>
      </c>
      <c r="K515" t="s">
        <v>5466</v>
      </c>
      <c r="L515" s="2">
        <v>44563</v>
      </c>
      <c r="N515" t="s">
        <v>5467</v>
      </c>
      <c r="O515" t="s">
        <v>357</v>
      </c>
      <c r="V515" s="2">
        <v>42886</v>
      </c>
      <c r="W515" s="2">
        <v>43731</v>
      </c>
      <c r="X515" t="s">
        <v>51</v>
      </c>
    </row>
    <row r="516" spans="1:24" x14ac:dyDescent="0.2">
      <c r="A516" t="s">
        <v>5468</v>
      </c>
      <c r="B516" t="s">
        <v>5469</v>
      </c>
      <c r="D516" t="s">
        <v>2831</v>
      </c>
      <c r="E516" t="s">
        <v>2833</v>
      </c>
      <c r="G516" t="s">
        <v>4857</v>
      </c>
      <c r="I516" t="s">
        <v>5470</v>
      </c>
      <c r="J516" t="s">
        <v>2835</v>
      </c>
      <c r="K516" t="s">
        <v>5471</v>
      </c>
      <c r="L516" t="s">
        <v>5472</v>
      </c>
      <c r="N516" t="s">
        <v>5161</v>
      </c>
      <c r="O516" t="s">
        <v>79</v>
      </c>
      <c r="V516" s="2">
        <v>33419</v>
      </c>
      <c r="W516" s="2">
        <v>34466</v>
      </c>
      <c r="X516" t="s">
        <v>51</v>
      </c>
    </row>
    <row r="517" spans="1:24" x14ac:dyDescent="0.2">
      <c r="A517" t="s">
        <v>5473</v>
      </c>
      <c r="B517" t="s">
        <v>5474</v>
      </c>
      <c r="D517" t="s">
        <v>2039</v>
      </c>
      <c r="G517" t="s">
        <v>4857</v>
      </c>
      <c r="I517" t="s">
        <v>2042</v>
      </c>
      <c r="J517" t="s">
        <v>5475</v>
      </c>
      <c r="X517" t="s">
        <v>51</v>
      </c>
    </row>
    <row r="518" spans="1:24" x14ac:dyDescent="0.2">
      <c r="A518" t="s">
        <v>5476</v>
      </c>
      <c r="B518" t="s">
        <v>5477</v>
      </c>
      <c r="D518" t="s">
        <v>659</v>
      </c>
      <c r="E518" t="s">
        <v>661</v>
      </c>
      <c r="G518" t="s">
        <v>5478</v>
      </c>
      <c r="I518" t="s">
        <v>5479</v>
      </c>
      <c r="J518" t="s">
        <v>663</v>
      </c>
      <c r="K518" t="s">
        <v>5480</v>
      </c>
      <c r="L518" s="2">
        <v>44573</v>
      </c>
      <c r="O518" t="s">
        <v>309</v>
      </c>
      <c r="P518" t="s">
        <v>5481</v>
      </c>
      <c r="Q518" t="s">
        <v>3571</v>
      </c>
      <c r="R518" s="2">
        <v>37995</v>
      </c>
      <c r="S518" s="2">
        <v>38362</v>
      </c>
      <c r="U518" t="s">
        <v>666</v>
      </c>
      <c r="V518" s="2">
        <v>37013</v>
      </c>
      <c r="W518" s="2">
        <v>37649</v>
      </c>
      <c r="X518" t="s">
        <v>51</v>
      </c>
    </row>
    <row r="519" spans="1:24" x14ac:dyDescent="0.2">
      <c r="A519" t="s">
        <v>5482</v>
      </c>
      <c r="B519" t="s">
        <v>5477</v>
      </c>
      <c r="D519" t="s">
        <v>2731</v>
      </c>
      <c r="E519" t="s">
        <v>2732</v>
      </c>
      <c r="G519" t="s">
        <v>5483</v>
      </c>
      <c r="I519" t="s">
        <v>2733</v>
      </c>
      <c r="J519" t="s">
        <v>2735</v>
      </c>
      <c r="K519" t="s">
        <v>5426</v>
      </c>
      <c r="L519" s="2">
        <v>42370</v>
      </c>
      <c r="O519" t="s">
        <v>214</v>
      </c>
      <c r="P519" t="s">
        <v>5484</v>
      </c>
      <c r="Q519" t="s">
        <v>5485</v>
      </c>
      <c r="R519" s="2">
        <v>39084</v>
      </c>
      <c r="S519" s="2">
        <v>4269</v>
      </c>
      <c r="U519" t="s">
        <v>156</v>
      </c>
      <c r="V519" s="2">
        <v>37642</v>
      </c>
      <c r="W519" s="2">
        <v>38007</v>
      </c>
      <c r="X519" t="s">
        <v>51</v>
      </c>
    </row>
    <row r="520" spans="1:24" x14ac:dyDescent="0.2">
      <c r="A520" t="s">
        <v>5486</v>
      </c>
      <c r="B520" t="s">
        <v>5477</v>
      </c>
      <c r="D520" t="s">
        <v>2885</v>
      </c>
      <c r="E520" t="s">
        <v>2886</v>
      </c>
      <c r="G520" t="s">
        <v>4857</v>
      </c>
      <c r="I520" t="s">
        <v>2887</v>
      </c>
      <c r="J520" t="s">
        <v>5487</v>
      </c>
      <c r="K520" t="s">
        <v>5488</v>
      </c>
      <c r="L520" s="2">
        <v>42375</v>
      </c>
      <c r="M520" s="2">
        <v>42737</v>
      </c>
      <c r="N520" t="s">
        <v>5156</v>
      </c>
      <c r="O520" t="s">
        <v>309</v>
      </c>
      <c r="P520" t="s">
        <v>5489</v>
      </c>
      <c r="Q520" t="s">
        <v>5488</v>
      </c>
      <c r="R520" s="2">
        <v>40917</v>
      </c>
      <c r="S520" s="2">
        <v>42375</v>
      </c>
      <c r="T520" t="s">
        <v>5156</v>
      </c>
      <c r="U520" t="s">
        <v>1486</v>
      </c>
      <c r="V520" s="2">
        <v>33865</v>
      </c>
      <c r="X520" t="s">
        <v>51</v>
      </c>
    </row>
    <row r="521" spans="1:24" x14ac:dyDescent="0.2">
      <c r="A521" t="s">
        <v>5490</v>
      </c>
      <c r="B521" t="s">
        <v>5477</v>
      </c>
      <c r="D521" t="s">
        <v>2987</v>
      </c>
      <c r="G521" t="s">
        <v>5114</v>
      </c>
      <c r="I521" t="s">
        <v>5491</v>
      </c>
      <c r="J521" t="s">
        <v>5492</v>
      </c>
      <c r="X521" t="s">
        <v>51</v>
      </c>
    </row>
    <row r="522" spans="1:24" x14ac:dyDescent="0.2">
      <c r="A522" t="s">
        <v>5493</v>
      </c>
      <c r="B522" t="s">
        <v>5494</v>
      </c>
      <c r="D522" t="s">
        <v>1908</v>
      </c>
      <c r="E522" t="s">
        <v>1910</v>
      </c>
      <c r="G522" t="s">
        <v>5495</v>
      </c>
      <c r="I522" t="s">
        <v>1911</v>
      </c>
      <c r="J522" t="s">
        <v>5496</v>
      </c>
      <c r="K522" t="s">
        <v>3493</v>
      </c>
      <c r="L522" s="2">
        <v>44562</v>
      </c>
      <c r="N522" t="s">
        <v>5156</v>
      </c>
      <c r="P522" t="s">
        <v>1913</v>
      </c>
      <c r="Q522" t="s">
        <v>5497</v>
      </c>
      <c r="R522" s="2">
        <v>36161</v>
      </c>
      <c r="S522" s="2">
        <v>41651</v>
      </c>
      <c r="U522" t="s">
        <v>309</v>
      </c>
      <c r="V522" s="2">
        <v>34074</v>
      </c>
      <c r="W522" s="2">
        <v>35185</v>
      </c>
      <c r="X522" t="s">
        <v>51</v>
      </c>
    </row>
    <row r="523" spans="1:24" x14ac:dyDescent="0.2">
      <c r="A523" t="s">
        <v>5498</v>
      </c>
      <c r="B523" t="s">
        <v>5499</v>
      </c>
      <c r="D523" t="s">
        <v>1342</v>
      </c>
      <c r="E523" t="s">
        <v>1344</v>
      </c>
      <c r="G523" t="s">
        <v>5500</v>
      </c>
      <c r="I523" t="s">
        <v>5501</v>
      </c>
      <c r="J523" t="s">
        <v>5502</v>
      </c>
      <c r="K523" t="s">
        <v>5503</v>
      </c>
      <c r="L523" s="2">
        <v>43102</v>
      </c>
      <c r="N523" t="s">
        <v>5504</v>
      </c>
      <c r="O523" t="s">
        <v>339</v>
      </c>
      <c r="P523" t="s">
        <v>5505</v>
      </c>
      <c r="Q523" t="s">
        <v>1505</v>
      </c>
      <c r="R523" s="2">
        <v>42740</v>
      </c>
      <c r="S523" s="2">
        <v>703</v>
      </c>
      <c r="T523" t="s">
        <v>5171</v>
      </c>
      <c r="U523" t="s">
        <v>339</v>
      </c>
      <c r="V523" s="2">
        <v>36280</v>
      </c>
      <c r="W523" s="2">
        <v>36584</v>
      </c>
      <c r="X523" t="s">
        <v>51</v>
      </c>
    </row>
    <row r="524" spans="1:24" x14ac:dyDescent="0.2">
      <c r="A524" t="s">
        <v>5506</v>
      </c>
      <c r="B524" t="s">
        <v>5507</v>
      </c>
      <c r="D524" t="s">
        <v>1799</v>
      </c>
      <c r="E524" t="s">
        <v>1800</v>
      </c>
      <c r="G524" t="s">
        <v>4857</v>
      </c>
      <c r="I524" t="s">
        <v>5508</v>
      </c>
      <c r="J524" t="s">
        <v>573</v>
      </c>
      <c r="K524" t="s">
        <v>5509</v>
      </c>
      <c r="L524" s="2">
        <v>42010</v>
      </c>
      <c r="N524" t="s">
        <v>5510</v>
      </c>
      <c r="O524" t="s">
        <v>91</v>
      </c>
      <c r="P524" t="s">
        <v>5511</v>
      </c>
      <c r="Q524" t="s">
        <v>5512</v>
      </c>
      <c r="R524" s="2">
        <v>41101</v>
      </c>
      <c r="S524" s="2">
        <v>44929</v>
      </c>
      <c r="T524" t="s">
        <v>5510</v>
      </c>
      <c r="U524" t="s">
        <v>91</v>
      </c>
      <c r="V524" s="2">
        <v>36280</v>
      </c>
      <c r="W524" s="2">
        <v>37298</v>
      </c>
      <c r="X524" t="s">
        <v>51</v>
      </c>
    </row>
    <row r="525" spans="1:24" x14ac:dyDescent="0.2">
      <c r="A525" t="s">
        <v>5513</v>
      </c>
      <c r="B525" t="s">
        <v>5507</v>
      </c>
      <c r="D525" t="s">
        <v>2736</v>
      </c>
      <c r="E525" t="s">
        <v>5514</v>
      </c>
      <c r="G525" t="s">
        <v>5515</v>
      </c>
      <c r="I525" t="s">
        <v>2738</v>
      </c>
      <c r="J525" t="s">
        <v>5516</v>
      </c>
      <c r="K525" t="s">
        <v>5517</v>
      </c>
      <c r="L525" s="2">
        <v>44562</v>
      </c>
      <c r="N525" t="s">
        <v>5161</v>
      </c>
      <c r="O525" t="s">
        <v>67</v>
      </c>
      <c r="P525" t="s">
        <v>163</v>
      </c>
      <c r="Q525" t="s">
        <v>5518</v>
      </c>
      <c r="R525" s="2">
        <v>42736</v>
      </c>
      <c r="S525" s="2">
        <v>43831</v>
      </c>
      <c r="T525" t="s">
        <v>5161</v>
      </c>
      <c r="U525" t="s">
        <v>67</v>
      </c>
      <c r="V525" s="2">
        <v>36655</v>
      </c>
      <c r="W525" s="2">
        <v>37298</v>
      </c>
      <c r="X525" t="s">
        <v>51</v>
      </c>
    </row>
    <row r="526" spans="1:24" x14ac:dyDescent="0.2">
      <c r="A526" t="s">
        <v>5519</v>
      </c>
      <c r="B526" t="s">
        <v>5507</v>
      </c>
      <c r="D526" t="s">
        <v>2819</v>
      </c>
      <c r="E526" t="s">
        <v>2820</v>
      </c>
      <c r="G526" t="s">
        <v>5520</v>
      </c>
      <c r="I526" t="s">
        <v>2821</v>
      </c>
      <c r="J526" t="s">
        <v>837</v>
      </c>
      <c r="K526" t="s">
        <v>5521</v>
      </c>
      <c r="L526" s="2">
        <v>44562</v>
      </c>
      <c r="N526" t="s">
        <v>5249</v>
      </c>
      <c r="O526" t="s">
        <v>309</v>
      </c>
      <c r="P526" t="s">
        <v>837</v>
      </c>
      <c r="Q526" t="s">
        <v>5522</v>
      </c>
      <c r="R526" s="2">
        <v>43466</v>
      </c>
      <c r="S526" t="s">
        <v>5256</v>
      </c>
      <c r="T526" t="s">
        <v>5249</v>
      </c>
      <c r="U526" t="s">
        <v>309</v>
      </c>
      <c r="V526" s="2">
        <v>41799</v>
      </c>
      <c r="W526" s="2">
        <v>42499</v>
      </c>
      <c r="X526" t="s">
        <v>453</v>
      </c>
    </row>
    <row r="527" spans="1:24" x14ac:dyDescent="0.2">
      <c r="A527" t="s">
        <v>5523</v>
      </c>
      <c r="B527" t="s">
        <v>5524</v>
      </c>
      <c r="D527" t="s">
        <v>919</v>
      </c>
      <c r="E527" t="s">
        <v>922</v>
      </c>
      <c r="G527" t="s">
        <v>4606</v>
      </c>
      <c r="I527" t="s">
        <v>923</v>
      </c>
      <c r="K527" t="s">
        <v>5525</v>
      </c>
      <c r="L527" s="2">
        <v>40553</v>
      </c>
      <c r="N527" t="s">
        <v>5526</v>
      </c>
      <c r="O527" t="s">
        <v>136</v>
      </c>
      <c r="P527" t="s">
        <v>4609</v>
      </c>
      <c r="Q527" t="s">
        <v>157</v>
      </c>
      <c r="R527" s="2">
        <v>37998</v>
      </c>
      <c r="S527" s="2">
        <v>4995</v>
      </c>
      <c r="T527" t="s">
        <v>5156</v>
      </c>
      <c r="U527" t="s">
        <v>67</v>
      </c>
      <c r="V527" s="2">
        <v>37013</v>
      </c>
      <c r="W527" s="2">
        <v>38007</v>
      </c>
      <c r="X527" t="s">
        <v>51</v>
      </c>
    </row>
    <row r="528" spans="1:24" x14ac:dyDescent="0.2">
      <c r="A528" t="s">
        <v>5527</v>
      </c>
      <c r="B528" t="s">
        <v>5528</v>
      </c>
      <c r="D528" t="s">
        <v>2325</v>
      </c>
      <c r="E528" t="s">
        <v>2327</v>
      </c>
      <c r="G528" t="s">
        <v>4857</v>
      </c>
      <c r="I528" t="s">
        <v>2328</v>
      </c>
      <c r="J528" t="s">
        <v>2329</v>
      </c>
      <c r="K528" t="s">
        <v>5529</v>
      </c>
      <c r="L528" s="2">
        <v>41651</v>
      </c>
      <c r="N528" t="s">
        <v>5530</v>
      </c>
      <c r="O528" t="s">
        <v>641</v>
      </c>
      <c r="P528" t="s">
        <v>39</v>
      </c>
      <c r="Q528" t="s">
        <v>3471</v>
      </c>
      <c r="R528" s="2">
        <v>41281</v>
      </c>
      <c r="S528" s="2">
        <v>41650</v>
      </c>
      <c r="T528" t="s">
        <v>5161</v>
      </c>
      <c r="U528" t="s">
        <v>357</v>
      </c>
      <c r="V528" s="2">
        <v>40568</v>
      </c>
      <c r="X528" t="s">
        <v>51</v>
      </c>
    </row>
    <row r="529" spans="1:24" x14ac:dyDescent="0.2">
      <c r="A529" t="s">
        <v>5531</v>
      </c>
      <c r="B529" t="s">
        <v>5532</v>
      </c>
      <c r="D529" t="s">
        <v>158</v>
      </c>
      <c r="G529" t="s">
        <v>4857</v>
      </c>
      <c r="I529" t="s">
        <v>161</v>
      </c>
      <c r="J529" t="s">
        <v>163</v>
      </c>
      <c r="K529" t="s">
        <v>5533</v>
      </c>
      <c r="L529" s="2">
        <v>42744</v>
      </c>
      <c r="N529" t="s">
        <v>5156</v>
      </c>
      <c r="O529" t="s">
        <v>67</v>
      </c>
      <c r="P529" t="s">
        <v>2070</v>
      </c>
      <c r="Q529" t="s">
        <v>5534</v>
      </c>
      <c r="R529" s="2">
        <v>42736</v>
      </c>
      <c r="S529" s="2">
        <v>42743</v>
      </c>
      <c r="T529" t="s">
        <v>5156</v>
      </c>
      <c r="U529" t="s">
        <v>402</v>
      </c>
      <c r="V529" s="2">
        <v>42159</v>
      </c>
      <c r="W529" s="2">
        <v>42170</v>
      </c>
      <c r="X529" t="s">
        <v>51</v>
      </c>
    </row>
    <row r="530" spans="1:24" x14ac:dyDescent="0.2">
      <c r="A530" t="s">
        <v>5535</v>
      </c>
      <c r="B530" t="s">
        <v>5532</v>
      </c>
      <c r="D530" t="s">
        <v>2466</v>
      </c>
      <c r="G530" t="s">
        <v>4857</v>
      </c>
      <c r="V530" s="2">
        <v>33419</v>
      </c>
      <c r="W530" s="2">
        <v>34233</v>
      </c>
      <c r="X530" t="s">
        <v>51</v>
      </c>
    </row>
    <row r="531" spans="1:24" x14ac:dyDescent="0.2">
      <c r="A531" t="s">
        <v>5536</v>
      </c>
      <c r="B531" t="s">
        <v>5532</v>
      </c>
      <c r="D531" t="s">
        <v>3400</v>
      </c>
      <c r="E531" t="s">
        <v>3401</v>
      </c>
      <c r="G531" t="s">
        <v>5537</v>
      </c>
      <c r="I531" t="s">
        <v>5538</v>
      </c>
      <c r="J531" t="s">
        <v>5539</v>
      </c>
      <c r="K531" t="s">
        <v>5540</v>
      </c>
      <c r="L531" s="2">
        <v>44562</v>
      </c>
      <c r="N531" t="s">
        <v>5155</v>
      </c>
      <c r="O531" t="s">
        <v>912</v>
      </c>
      <c r="P531" t="s">
        <v>3404</v>
      </c>
      <c r="Q531" t="s">
        <v>5541</v>
      </c>
      <c r="R531" s="2">
        <v>38364</v>
      </c>
      <c r="S531" t="s">
        <v>5542</v>
      </c>
      <c r="T531" t="s">
        <v>5197</v>
      </c>
      <c r="U531" t="s">
        <v>602</v>
      </c>
      <c r="V531" s="2">
        <v>36871</v>
      </c>
      <c r="W531" s="2">
        <v>37649</v>
      </c>
      <c r="X531" t="s">
        <v>51</v>
      </c>
    </row>
    <row r="532" spans="1:24" x14ac:dyDescent="0.2">
      <c r="A532" t="s">
        <v>5543</v>
      </c>
      <c r="B532" t="s">
        <v>5544</v>
      </c>
      <c r="D532" t="s">
        <v>203</v>
      </c>
      <c r="G532" t="s">
        <v>4857</v>
      </c>
      <c r="V532" s="2">
        <v>35488</v>
      </c>
      <c r="W532" s="2">
        <v>35674</v>
      </c>
      <c r="X532" t="s">
        <v>51</v>
      </c>
    </row>
    <row r="533" spans="1:24" x14ac:dyDescent="0.2">
      <c r="A533" t="s">
        <v>5545</v>
      </c>
      <c r="B533" t="s">
        <v>5544</v>
      </c>
      <c r="D533" t="s">
        <v>475</v>
      </c>
      <c r="E533" t="s">
        <v>476</v>
      </c>
      <c r="G533" t="s">
        <v>5546</v>
      </c>
      <c r="I533" t="s">
        <v>477</v>
      </c>
      <c r="J533" t="s">
        <v>5547</v>
      </c>
      <c r="K533" t="s">
        <v>5548</v>
      </c>
      <c r="L533" s="2">
        <v>42376</v>
      </c>
      <c r="N533" t="s">
        <v>5156</v>
      </c>
      <c r="O533" t="s">
        <v>483</v>
      </c>
      <c r="P533" t="s">
        <v>480</v>
      </c>
      <c r="Q533" t="s">
        <v>5549</v>
      </c>
      <c r="R533" s="2">
        <v>39452</v>
      </c>
      <c r="S533" s="2">
        <v>42376</v>
      </c>
      <c r="T533" t="s">
        <v>5156</v>
      </c>
      <c r="U533" t="s">
        <v>483</v>
      </c>
      <c r="V533" s="2">
        <v>37797</v>
      </c>
      <c r="W533" s="2">
        <v>39882</v>
      </c>
      <c r="X533" t="s">
        <v>453</v>
      </c>
    </row>
    <row r="534" spans="1:24" x14ac:dyDescent="0.2">
      <c r="A534" t="s">
        <v>5550</v>
      </c>
      <c r="B534" t="s">
        <v>5544</v>
      </c>
      <c r="D534" t="s">
        <v>490</v>
      </c>
      <c r="E534" t="s">
        <v>491</v>
      </c>
      <c r="G534" t="s">
        <v>5551</v>
      </c>
      <c r="I534" t="s">
        <v>5552</v>
      </c>
      <c r="J534" t="s">
        <v>277</v>
      </c>
      <c r="K534" t="s">
        <v>3600</v>
      </c>
      <c r="L534" s="2">
        <v>44566</v>
      </c>
      <c r="O534" t="s">
        <v>357</v>
      </c>
      <c r="V534" s="2">
        <v>32464</v>
      </c>
      <c r="W534" s="2">
        <v>34233</v>
      </c>
      <c r="X534" t="s">
        <v>51</v>
      </c>
    </row>
    <row r="535" spans="1:24" x14ac:dyDescent="0.2">
      <c r="A535" t="s">
        <v>5553</v>
      </c>
      <c r="B535" t="s">
        <v>5544</v>
      </c>
      <c r="D535" t="s">
        <v>687</v>
      </c>
      <c r="E535" t="s">
        <v>688</v>
      </c>
      <c r="G535" t="s">
        <v>5554</v>
      </c>
      <c r="I535" t="s">
        <v>3423</v>
      </c>
      <c r="J535" t="s">
        <v>631</v>
      </c>
      <c r="K535" t="s">
        <v>3493</v>
      </c>
      <c r="L535" s="2">
        <v>43472</v>
      </c>
      <c r="N535" t="s">
        <v>5156</v>
      </c>
      <c r="O535" t="s">
        <v>67</v>
      </c>
      <c r="P535" t="s">
        <v>631</v>
      </c>
      <c r="Q535" t="s">
        <v>5091</v>
      </c>
      <c r="R535" s="2">
        <v>42376</v>
      </c>
      <c r="S535" s="2">
        <v>43471</v>
      </c>
      <c r="T535" t="s">
        <v>5156</v>
      </c>
      <c r="U535" t="s">
        <v>67</v>
      </c>
      <c r="V535" s="2">
        <v>37642</v>
      </c>
      <c r="W535" s="2">
        <v>38860</v>
      </c>
      <c r="X535" t="s">
        <v>51</v>
      </c>
    </row>
    <row r="536" spans="1:24" x14ac:dyDescent="0.2">
      <c r="A536" t="s">
        <v>5555</v>
      </c>
      <c r="B536" t="s">
        <v>5544</v>
      </c>
      <c r="D536" t="s">
        <v>750</v>
      </c>
      <c r="G536" t="s">
        <v>4857</v>
      </c>
      <c r="I536" t="s">
        <v>752</v>
      </c>
      <c r="J536" t="s">
        <v>5556</v>
      </c>
      <c r="V536" s="2">
        <v>43480</v>
      </c>
      <c r="X536" t="s">
        <v>51</v>
      </c>
    </row>
    <row r="537" spans="1:24" x14ac:dyDescent="0.2">
      <c r="A537" t="s">
        <v>5557</v>
      </c>
      <c r="B537" t="s">
        <v>5544</v>
      </c>
      <c r="D537" t="s">
        <v>881</v>
      </c>
      <c r="E537" t="s">
        <v>882</v>
      </c>
      <c r="G537" t="s">
        <v>5558</v>
      </c>
      <c r="I537" t="s">
        <v>883</v>
      </c>
      <c r="J537" t="s">
        <v>5559</v>
      </c>
      <c r="K537" t="s">
        <v>3655</v>
      </c>
      <c r="L537" s="2">
        <v>41648</v>
      </c>
      <c r="N537" t="s">
        <v>5156</v>
      </c>
      <c r="O537" t="s">
        <v>887</v>
      </c>
      <c r="P537" t="s">
        <v>885</v>
      </c>
      <c r="Q537" t="s">
        <v>153</v>
      </c>
      <c r="R537" s="2">
        <v>39452</v>
      </c>
      <c r="S537" s="2">
        <v>41645</v>
      </c>
      <c r="U537" t="s">
        <v>887</v>
      </c>
      <c r="V537" s="2">
        <v>36871</v>
      </c>
      <c r="W537" s="2">
        <v>37649</v>
      </c>
      <c r="X537" t="s">
        <v>51</v>
      </c>
    </row>
    <row r="538" spans="1:24" x14ac:dyDescent="0.2">
      <c r="A538" t="s">
        <v>5560</v>
      </c>
      <c r="B538" t="s">
        <v>5544</v>
      </c>
      <c r="D538" t="s">
        <v>1728</v>
      </c>
      <c r="E538" t="s">
        <v>1729</v>
      </c>
      <c r="G538" t="s">
        <v>4857</v>
      </c>
      <c r="I538" t="s">
        <v>1730</v>
      </c>
      <c r="J538" t="s">
        <v>657</v>
      </c>
      <c r="K538" t="s">
        <v>2355</v>
      </c>
      <c r="L538" s="2">
        <v>44565</v>
      </c>
      <c r="N538" t="s">
        <v>5156</v>
      </c>
      <c r="O538" t="s">
        <v>156</v>
      </c>
      <c r="P538" t="s">
        <v>5561</v>
      </c>
      <c r="Q538" t="s">
        <v>4746</v>
      </c>
      <c r="R538" s="2">
        <v>37622</v>
      </c>
      <c r="S538" s="2">
        <v>38718</v>
      </c>
      <c r="T538" t="s">
        <v>5161</v>
      </c>
      <c r="U538" t="s">
        <v>357</v>
      </c>
      <c r="V538" s="2">
        <v>34236</v>
      </c>
      <c r="W538" s="2">
        <v>34824</v>
      </c>
      <c r="X538" t="s">
        <v>51</v>
      </c>
    </row>
    <row r="539" spans="1:24" x14ac:dyDescent="0.2">
      <c r="A539" t="s">
        <v>5562</v>
      </c>
      <c r="B539" t="s">
        <v>5544</v>
      </c>
      <c r="D539" t="s">
        <v>1760</v>
      </c>
      <c r="E539" t="s">
        <v>1761</v>
      </c>
      <c r="G539" t="s">
        <v>4857</v>
      </c>
      <c r="I539" t="s">
        <v>1762</v>
      </c>
      <c r="J539" t="s">
        <v>1763</v>
      </c>
      <c r="K539" t="s">
        <v>5563</v>
      </c>
      <c r="L539" s="2">
        <v>43467</v>
      </c>
      <c r="N539" t="s">
        <v>5156</v>
      </c>
      <c r="O539" t="s">
        <v>91</v>
      </c>
      <c r="P539" t="s">
        <v>1763</v>
      </c>
      <c r="Q539" t="s">
        <v>5564</v>
      </c>
      <c r="R539" s="2">
        <v>42736</v>
      </c>
      <c r="S539" s="2">
        <v>43466</v>
      </c>
      <c r="T539" t="s">
        <v>5156</v>
      </c>
      <c r="U539" t="s">
        <v>91</v>
      </c>
      <c r="V539" s="2">
        <v>33240</v>
      </c>
      <c r="W539" s="2">
        <v>34233</v>
      </c>
      <c r="X539" t="s">
        <v>51</v>
      </c>
    </row>
    <row r="540" spans="1:24" x14ac:dyDescent="0.2">
      <c r="A540" t="s">
        <v>5565</v>
      </c>
      <c r="B540" t="s">
        <v>5544</v>
      </c>
      <c r="D540" t="s">
        <v>1837</v>
      </c>
      <c r="E540" t="s">
        <v>1838</v>
      </c>
      <c r="G540" t="s">
        <v>5566</v>
      </c>
      <c r="I540" t="s">
        <v>5567</v>
      </c>
      <c r="J540" t="s">
        <v>1840</v>
      </c>
      <c r="K540" t="s">
        <v>5568</v>
      </c>
      <c r="L540" s="2">
        <v>43470</v>
      </c>
      <c r="N540" t="s">
        <v>5156</v>
      </c>
      <c r="O540" t="s">
        <v>1140</v>
      </c>
      <c r="P540" t="s">
        <v>5569</v>
      </c>
      <c r="Q540" t="s">
        <v>3523</v>
      </c>
      <c r="R540" s="2">
        <v>42380</v>
      </c>
      <c r="S540" s="2">
        <v>43469</v>
      </c>
      <c r="T540" t="s">
        <v>5156</v>
      </c>
      <c r="U540" t="s">
        <v>1140</v>
      </c>
      <c r="V540" s="2">
        <v>38159</v>
      </c>
      <c r="W540" s="2">
        <v>39882</v>
      </c>
      <c r="X540" t="s">
        <v>290</v>
      </c>
    </row>
    <row r="541" spans="1:24" x14ac:dyDescent="0.2">
      <c r="A541" t="s">
        <v>5570</v>
      </c>
      <c r="B541" t="s">
        <v>5544</v>
      </c>
      <c r="D541" t="s">
        <v>1841</v>
      </c>
      <c r="G541" t="s">
        <v>4857</v>
      </c>
      <c r="V541" s="2">
        <v>33240</v>
      </c>
      <c r="W541" s="2">
        <v>34233</v>
      </c>
      <c r="X541" t="s">
        <v>51</v>
      </c>
    </row>
    <row r="542" spans="1:24" x14ac:dyDescent="0.2">
      <c r="A542" t="s">
        <v>5571</v>
      </c>
      <c r="B542" t="s">
        <v>5544</v>
      </c>
      <c r="D542" t="s">
        <v>2228</v>
      </c>
      <c r="E542" t="s">
        <v>2229</v>
      </c>
      <c r="G542" t="s">
        <v>4857</v>
      </c>
      <c r="I542" t="s">
        <v>2230</v>
      </c>
      <c r="J542" t="s">
        <v>5572</v>
      </c>
      <c r="K542" t="s">
        <v>5573</v>
      </c>
      <c r="L542" s="2">
        <v>40550</v>
      </c>
      <c r="N542" t="s">
        <v>2232</v>
      </c>
      <c r="O542" t="s">
        <v>1053</v>
      </c>
      <c r="P542" t="s">
        <v>171</v>
      </c>
      <c r="Q542" t="s">
        <v>5574</v>
      </c>
      <c r="R542" s="2">
        <v>41123</v>
      </c>
      <c r="S542" s="2">
        <v>4576</v>
      </c>
      <c r="T542" t="s">
        <v>5156</v>
      </c>
      <c r="U542" t="s">
        <v>67</v>
      </c>
      <c r="V542" s="2">
        <v>36550</v>
      </c>
      <c r="W542" s="2">
        <v>37313</v>
      </c>
      <c r="X542" t="s">
        <v>51</v>
      </c>
    </row>
    <row r="543" spans="1:24" x14ac:dyDescent="0.2">
      <c r="A543" t="s">
        <v>5575</v>
      </c>
      <c r="B543" t="s">
        <v>5544</v>
      </c>
      <c r="D543" t="s">
        <v>3050</v>
      </c>
      <c r="E543" t="s">
        <v>3051</v>
      </c>
      <c r="G543" t="s">
        <v>5576</v>
      </c>
      <c r="I543" t="s">
        <v>3052</v>
      </c>
      <c r="J543" t="s">
        <v>5577</v>
      </c>
      <c r="V543" s="2">
        <v>43480</v>
      </c>
      <c r="W543" s="2">
        <v>44627</v>
      </c>
      <c r="X543" t="s">
        <v>51</v>
      </c>
    </row>
    <row r="544" spans="1:24" x14ac:dyDescent="0.2">
      <c r="A544" t="s">
        <v>5578</v>
      </c>
      <c r="B544" t="s">
        <v>5544</v>
      </c>
      <c r="D544" t="s">
        <v>3206</v>
      </c>
      <c r="E544" t="s">
        <v>3207</v>
      </c>
      <c r="G544" t="s">
        <v>4857</v>
      </c>
      <c r="I544" t="s">
        <v>3208</v>
      </c>
      <c r="J544" t="s">
        <v>5579</v>
      </c>
      <c r="K544" t="s">
        <v>5069</v>
      </c>
      <c r="L544" s="2">
        <v>44933</v>
      </c>
      <c r="N544" t="s">
        <v>5156</v>
      </c>
      <c r="O544" t="s">
        <v>67</v>
      </c>
      <c r="P544" t="s">
        <v>3209</v>
      </c>
      <c r="Q544" t="s">
        <v>5580</v>
      </c>
      <c r="R544" s="2">
        <v>35431</v>
      </c>
      <c r="S544" s="2">
        <v>36892</v>
      </c>
      <c r="U544" t="s">
        <v>46</v>
      </c>
      <c r="V544" s="2">
        <v>34974</v>
      </c>
      <c r="W544" s="2">
        <v>35564</v>
      </c>
      <c r="X544" t="s">
        <v>239</v>
      </c>
    </row>
    <row r="545" spans="1:24" x14ac:dyDescent="0.2">
      <c r="A545" t="s">
        <v>5581</v>
      </c>
      <c r="B545" t="s">
        <v>5544</v>
      </c>
      <c r="D545" t="s">
        <v>3406</v>
      </c>
      <c r="E545" t="s">
        <v>3407</v>
      </c>
      <c r="G545" t="s">
        <v>4857</v>
      </c>
      <c r="I545" t="s">
        <v>3408</v>
      </c>
      <c r="J545" t="s">
        <v>3409</v>
      </c>
      <c r="K545" t="s">
        <v>5582</v>
      </c>
      <c r="L545" s="2">
        <v>43110</v>
      </c>
      <c r="N545" t="s">
        <v>5161</v>
      </c>
      <c r="O545" t="s">
        <v>44</v>
      </c>
      <c r="P545" t="s">
        <v>3410</v>
      </c>
      <c r="Q545" t="s">
        <v>5583</v>
      </c>
      <c r="R545" s="2">
        <v>42375</v>
      </c>
      <c r="S545" s="2">
        <v>43109</v>
      </c>
      <c r="T545" t="s">
        <v>5161</v>
      </c>
      <c r="U545" t="s">
        <v>357</v>
      </c>
      <c r="V545" s="2">
        <v>33240</v>
      </c>
      <c r="W545" s="2">
        <v>33602</v>
      </c>
      <c r="X545" t="s">
        <v>51</v>
      </c>
    </row>
    <row r="546" spans="1:24" x14ac:dyDescent="0.2">
      <c r="A546" t="s">
        <v>5584</v>
      </c>
      <c r="B546" t="s">
        <v>5585</v>
      </c>
      <c r="D546" t="s">
        <v>1333</v>
      </c>
      <c r="E546" t="s">
        <v>1334</v>
      </c>
      <c r="G546" t="s">
        <v>5586</v>
      </c>
      <c r="H546" t="s">
        <v>5587</v>
      </c>
      <c r="I546" t="s">
        <v>1335</v>
      </c>
      <c r="J546" t="s">
        <v>5588</v>
      </c>
      <c r="K546" t="s">
        <v>4053</v>
      </c>
      <c r="L546" s="2">
        <v>44563</v>
      </c>
      <c r="N546" t="s">
        <v>5156</v>
      </c>
      <c r="O546" t="s">
        <v>388</v>
      </c>
      <c r="P546" t="s">
        <v>75</v>
      </c>
      <c r="Q546" t="s">
        <v>4053</v>
      </c>
      <c r="R546" s="2">
        <v>43104</v>
      </c>
      <c r="S546" s="2">
        <v>43832</v>
      </c>
      <c r="T546" t="s">
        <v>5156</v>
      </c>
      <c r="U546" t="s">
        <v>388</v>
      </c>
      <c r="V546" s="2">
        <v>37797</v>
      </c>
      <c r="W546" s="2">
        <v>38860</v>
      </c>
      <c r="X546" t="s">
        <v>51</v>
      </c>
    </row>
    <row r="547" spans="1:24" x14ac:dyDescent="0.2">
      <c r="A547" t="s">
        <v>5589</v>
      </c>
      <c r="B547" t="s">
        <v>5585</v>
      </c>
      <c r="D547" t="s">
        <v>2211</v>
      </c>
      <c r="E547" t="s">
        <v>2212</v>
      </c>
      <c r="G547" t="s">
        <v>5590</v>
      </c>
      <c r="I547" t="s">
        <v>2213</v>
      </c>
      <c r="J547" t="s">
        <v>75</v>
      </c>
      <c r="K547" t="s">
        <v>5591</v>
      </c>
      <c r="L547" s="2">
        <v>44562</v>
      </c>
      <c r="N547" t="s">
        <v>5156</v>
      </c>
      <c r="O547" t="s">
        <v>388</v>
      </c>
      <c r="P547" t="s">
        <v>75</v>
      </c>
      <c r="Q547" t="s">
        <v>4322</v>
      </c>
      <c r="R547" s="2">
        <v>43469</v>
      </c>
      <c r="S547" s="2">
        <v>43833</v>
      </c>
      <c r="T547" t="s">
        <v>5156</v>
      </c>
      <c r="U547" t="s">
        <v>388</v>
      </c>
      <c r="V547" s="2">
        <v>40567</v>
      </c>
      <c r="W547" s="2">
        <v>41079</v>
      </c>
      <c r="X547" t="s">
        <v>51</v>
      </c>
    </row>
    <row r="548" spans="1:24" x14ac:dyDescent="0.2">
      <c r="A548" t="s">
        <v>5592</v>
      </c>
      <c r="B548" t="s">
        <v>5585</v>
      </c>
      <c r="D548" t="s">
        <v>3186</v>
      </c>
      <c r="G548" t="s">
        <v>4857</v>
      </c>
      <c r="I548" t="s">
        <v>3188</v>
      </c>
      <c r="J548" t="s">
        <v>3189</v>
      </c>
      <c r="K548" t="s">
        <v>5593</v>
      </c>
      <c r="L548" s="2">
        <v>43106</v>
      </c>
      <c r="O548" t="s">
        <v>156</v>
      </c>
      <c r="P548" t="s">
        <v>551</v>
      </c>
      <c r="Q548" t="s">
        <v>5594</v>
      </c>
      <c r="R548" s="2">
        <v>40730</v>
      </c>
      <c r="S548" s="2">
        <v>44929</v>
      </c>
      <c r="U548" t="s">
        <v>156</v>
      </c>
      <c r="V548" s="2">
        <v>36280</v>
      </c>
      <c r="W548" s="2">
        <v>37298</v>
      </c>
      <c r="X548" t="s">
        <v>51</v>
      </c>
    </row>
    <row r="549" spans="1:24" x14ac:dyDescent="0.2">
      <c r="A549" t="s">
        <v>5595</v>
      </c>
      <c r="B549" t="s">
        <v>5596</v>
      </c>
      <c r="D549" t="s">
        <v>272</v>
      </c>
      <c r="G549" t="s">
        <v>4857</v>
      </c>
      <c r="I549" t="s">
        <v>5597</v>
      </c>
      <c r="J549" t="s">
        <v>5598</v>
      </c>
      <c r="K549" t="s">
        <v>4267</v>
      </c>
      <c r="L549" s="2">
        <v>43476</v>
      </c>
      <c r="N549" t="s">
        <v>5156</v>
      </c>
      <c r="O549" t="s">
        <v>67</v>
      </c>
      <c r="P549" t="s">
        <v>5599</v>
      </c>
      <c r="Q549" t="s">
        <v>3476</v>
      </c>
      <c r="R549" s="2">
        <v>43107</v>
      </c>
      <c r="S549" s="2">
        <v>43109</v>
      </c>
      <c r="T549" t="s">
        <v>5161</v>
      </c>
      <c r="U549" t="s">
        <v>641</v>
      </c>
      <c r="V549" s="2">
        <v>41799</v>
      </c>
      <c r="W549" s="2">
        <v>42699</v>
      </c>
      <c r="X549" t="s">
        <v>51</v>
      </c>
    </row>
    <row r="550" spans="1:24" x14ac:dyDescent="0.2">
      <c r="A550" t="s">
        <v>5600</v>
      </c>
      <c r="B550" t="s">
        <v>5601</v>
      </c>
      <c r="D550" t="s">
        <v>1188</v>
      </c>
      <c r="E550" t="s">
        <v>1190</v>
      </c>
      <c r="G550" t="s">
        <v>4857</v>
      </c>
      <c r="I550" t="s">
        <v>1191</v>
      </c>
      <c r="J550" t="s">
        <v>58</v>
      </c>
      <c r="V550" s="2">
        <v>43843</v>
      </c>
      <c r="X550" t="s">
        <v>51</v>
      </c>
    </row>
    <row r="551" spans="1:24" x14ac:dyDescent="0.2">
      <c r="A551" t="s">
        <v>4038</v>
      </c>
      <c r="B551" t="s">
        <v>4039</v>
      </c>
      <c r="D551" t="s">
        <v>1054</v>
      </c>
      <c r="E551" t="s">
        <v>1056</v>
      </c>
      <c r="G551" t="s">
        <v>4040</v>
      </c>
      <c r="I551" t="s">
        <v>5602</v>
      </c>
      <c r="K551" t="s">
        <v>4042</v>
      </c>
      <c r="L551" s="2">
        <v>43471</v>
      </c>
      <c r="N551" t="s">
        <v>5156</v>
      </c>
      <c r="O551" t="s">
        <v>1061</v>
      </c>
      <c r="P551" t="s">
        <v>1059</v>
      </c>
      <c r="Q551" t="s">
        <v>5603</v>
      </c>
      <c r="R551" s="2">
        <v>42741</v>
      </c>
      <c r="S551" s="2">
        <v>43471</v>
      </c>
      <c r="T551" t="s">
        <v>5156</v>
      </c>
      <c r="U551" t="s">
        <v>1061</v>
      </c>
      <c r="V551" s="2">
        <v>35831</v>
      </c>
      <c r="W551" s="2">
        <v>36121</v>
      </c>
      <c r="X551" t="s">
        <v>51</v>
      </c>
    </row>
    <row r="552" spans="1:24" x14ac:dyDescent="0.2">
      <c r="A552" t="s">
        <v>5604</v>
      </c>
      <c r="B552" t="s">
        <v>4039</v>
      </c>
      <c r="D552" t="s">
        <v>1324</v>
      </c>
      <c r="E552" t="s">
        <v>1325</v>
      </c>
      <c r="G552" t="s">
        <v>5605</v>
      </c>
      <c r="V552" s="2">
        <v>38860</v>
      </c>
      <c r="W552" s="2">
        <v>39883</v>
      </c>
      <c r="X552" t="s">
        <v>51</v>
      </c>
    </row>
    <row r="553" spans="1:24" x14ac:dyDescent="0.2">
      <c r="A553" t="s">
        <v>5606</v>
      </c>
      <c r="B553" t="s">
        <v>4039</v>
      </c>
      <c r="D553" t="s">
        <v>1564</v>
      </c>
      <c r="E553" t="s">
        <v>1565</v>
      </c>
      <c r="G553" t="s">
        <v>4857</v>
      </c>
      <c r="I553" t="s">
        <v>1566</v>
      </c>
      <c r="J553" t="s">
        <v>1568</v>
      </c>
      <c r="K553" t="s">
        <v>64</v>
      </c>
      <c r="L553" s="2">
        <v>42744</v>
      </c>
      <c r="N553" t="s">
        <v>5197</v>
      </c>
      <c r="O553" t="s">
        <v>309</v>
      </c>
      <c r="P553" t="s">
        <v>5607</v>
      </c>
      <c r="Q553" t="s">
        <v>5568</v>
      </c>
      <c r="R553" s="2">
        <v>42378</v>
      </c>
      <c r="S553" s="2">
        <v>44929</v>
      </c>
      <c r="T553" t="s">
        <v>5171</v>
      </c>
      <c r="U553" t="s">
        <v>2861</v>
      </c>
      <c r="V553" s="2">
        <v>35104</v>
      </c>
      <c r="W553" s="2">
        <v>35323</v>
      </c>
      <c r="X553" t="s">
        <v>51</v>
      </c>
    </row>
    <row r="554" spans="1:24" x14ac:dyDescent="0.2">
      <c r="A554" t="s">
        <v>5608</v>
      </c>
      <c r="B554" t="s">
        <v>4039</v>
      </c>
      <c r="D554" t="s">
        <v>2710</v>
      </c>
      <c r="E554" t="s">
        <v>5609</v>
      </c>
      <c r="G554" t="s">
        <v>5610</v>
      </c>
      <c r="I554" t="s">
        <v>5611</v>
      </c>
      <c r="J554" t="s">
        <v>5612</v>
      </c>
      <c r="X554" t="s">
        <v>51</v>
      </c>
    </row>
    <row r="555" spans="1:24" x14ac:dyDescent="0.2">
      <c r="A555" t="s">
        <v>5613</v>
      </c>
      <c r="B555" t="s">
        <v>5614</v>
      </c>
      <c r="D555" t="s">
        <v>1413</v>
      </c>
      <c r="E555" t="s">
        <v>1415</v>
      </c>
      <c r="G555" t="s">
        <v>4857</v>
      </c>
      <c r="I555" t="s">
        <v>1416</v>
      </c>
      <c r="J555" t="s">
        <v>1417</v>
      </c>
      <c r="K555" t="s">
        <v>4076</v>
      </c>
      <c r="L555" s="2">
        <v>43470</v>
      </c>
      <c r="N555" t="s">
        <v>5156</v>
      </c>
      <c r="O555" t="s">
        <v>67</v>
      </c>
      <c r="P555" t="s">
        <v>1418</v>
      </c>
      <c r="Q555" t="s">
        <v>4387</v>
      </c>
      <c r="R555" s="2">
        <v>43831</v>
      </c>
      <c r="S555" s="2">
        <v>44929</v>
      </c>
      <c r="T555" t="s">
        <v>5156</v>
      </c>
      <c r="V555" s="2">
        <v>43115</v>
      </c>
      <c r="W555" s="2">
        <v>43871</v>
      </c>
      <c r="X555" t="s">
        <v>290</v>
      </c>
    </row>
    <row r="556" spans="1:24" x14ac:dyDescent="0.2">
      <c r="A556" t="s">
        <v>5615</v>
      </c>
      <c r="B556" t="s">
        <v>5614</v>
      </c>
      <c r="D556" t="s">
        <v>3236</v>
      </c>
      <c r="E556" t="s">
        <v>3237</v>
      </c>
      <c r="G556" t="s">
        <v>5616</v>
      </c>
      <c r="I556" t="s">
        <v>5617</v>
      </c>
      <c r="J556" t="s">
        <v>5618</v>
      </c>
      <c r="K556" t="s">
        <v>5619</v>
      </c>
      <c r="L556" s="2">
        <v>42375</v>
      </c>
      <c r="N556" t="s">
        <v>5620</v>
      </c>
      <c r="O556" t="s">
        <v>602</v>
      </c>
      <c r="P556" t="s">
        <v>3240</v>
      </c>
      <c r="Q556" t="s">
        <v>5621</v>
      </c>
      <c r="R556" s="2">
        <v>41100</v>
      </c>
      <c r="S556" s="2">
        <v>41645</v>
      </c>
      <c r="T556" t="s">
        <v>5622</v>
      </c>
      <c r="U556" t="s">
        <v>156</v>
      </c>
      <c r="V556" s="2">
        <v>37025</v>
      </c>
      <c r="W556" s="2">
        <v>37649</v>
      </c>
      <c r="X556" t="s">
        <v>51</v>
      </c>
    </row>
    <row r="557" spans="1:24" x14ac:dyDescent="0.2">
      <c r="A557" t="s">
        <v>5623</v>
      </c>
      <c r="B557" t="s">
        <v>5624</v>
      </c>
      <c r="D557" t="s">
        <v>54</v>
      </c>
      <c r="G557" t="s">
        <v>4857</v>
      </c>
      <c r="I557" t="s">
        <v>129</v>
      </c>
      <c r="X557" t="s">
        <v>51</v>
      </c>
    </row>
    <row r="558" spans="1:24" x14ac:dyDescent="0.2">
      <c r="A558" t="s">
        <v>5625</v>
      </c>
      <c r="B558" t="s">
        <v>5626</v>
      </c>
      <c r="D558" t="s">
        <v>2437</v>
      </c>
      <c r="E558" t="s">
        <v>5627</v>
      </c>
      <c r="G558" t="s">
        <v>5628</v>
      </c>
      <c r="J558" t="s">
        <v>263</v>
      </c>
      <c r="K558" t="s">
        <v>5568</v>
      </c>
      <c r="L558" s="2">
        <v>42005</v>
      </c>
      <c r="N558" t="s">
        <v>5167</v>
      </c>
      <c r="O558" t="s">
        <v>67</v>
      </c>
      <c r="P558" t="s">
        <v>188</v>
      </c>
      <c r="Q558" t="s">
        <v>5629</v>
      </c>
      <c r="R558" t="s">
        <v>5244</v>
      </c>
      <c r="S558" s="2">
        <v>40920</v>
      </c>
      <c r="T558" t="s">
        <v>5161</v>
      </c>
      <c r="U558" t="s">
        <v>156</v>
      </c>
      <c r="V558" s="2">
        <v>39238</v>
      </c>
      <c r="W558" s="2">
        <v>40190</v>
      </c>
      <c r="X558" t="s">
        <v>51</v>
      </c>
    </row>
    <row r="559" spans="1:24" x14ac:dyDescent="0.2">
      <c r="A559" t="s">
        <v>5630</v>
      </c>
      <c r="B559" t="s">
        <v>5631</v>
      </c>
      <c r="D559" t="s">
        <v>1369</v>
      </c>
      <c r="E559" t="s">
        <v>1371</v>
      </c>
      <c r="G559" t="s">
        <v>5632</v>
      </c>
      <c r="I559" t="s">
        <v>1372</v>
      </c>
      <c r="J559" t="s">
        <v>1374</v>
      </c>
      <c r="K559" t="s">
        <v>5633</v>
      </c>
      <c r="L559" s="2">
        <v>43110</v>
      </c>
      <c r="N559" t="s">
        <v>5530</v>
      </c>
      <c r="O559" t="s">
        <v>581</v>
      </c>
      <c r="P559" t="s">
        <v>5634</v>
      </c>
      <c r="Q559" t="s">
        <v>5635</v>
      </c>
      <c r="R559" s="2">
        <v>42738</v>
      </c>
      <c r="S559" s="2">
        <v>43109</v>
      </c>
      <c r="T559" t="s">
        <v>5530</v>
      </c>
      <c r="U559" t="s">
        <v>581</v>
      </c>
      <c r="V559" s="2">
        <v>40239</v>
      </c>
      <c r="W559" s="2">
        <v>40568</v>
      </c>
      <c r="X559" t="s">
        <v>51</v>
      </c>
    </row>
    <row r="560" spans="1:24" x14ac:dyDescent="0.2">
      <c r="A560" t="s">
        <v>5636</v>
      </c>
      <c r="B560" t="s">
        <v>5631</v>
      </c>
      <c r="D560" t="s">
        <v>3114</v>
      </c>
      <c r="E560" t="s">
        <v>3115</v>
      </c>
      <c r="G560" t="s">
        <v>5637</v>
      </c>
      <c r="I560" t="s">
        <v>5638</v>
      </c>
      <c r="J560" t="s">
        <v>5639</v>
      </c>
      <c r="K560" t="s">
        <v>3461</v>
      </c>
      <c r="L560" s="2">
        <v>43475</v>
      </c>
      <c r="N560" t="s">
        <v>5156</v>
      </c>
      <c r="O560" t="s">
        <v>67</v>
      </c>
      <c r="P560" t="s">
        <v>5640</v>
      </c>
      <c r="Q560" t="s">
        <v>5641</v>
      </c>
      <c r="R560" s="2">
        <v>43106</v>
      </c>
      <c r="S560" s="2">
        <v>43108</v>
      </c>
      <c r="T560" t="s">
        <v>5642</v>
      </c>
      <c r="U560" t="s">
        <v>156</v>
      </c>
      <c r="V560" s="2">
        <v>42886</v>
      </c>
      <c r="W560" s="2">
        <v>43465</v>
      </c>
      <c r="X560" t="s">
        <v>453</v>
      </c>
    </row>
    <row r="561" spans="1:24" x14ac:dyDescent="0.2">
      <c r="A561" t="s">
        <v>5643</v>
      </c>
      <c r="B561" t="s">
        <v>5644</v>
      </c>
      <c r="D561" t="s">
        <v>1289</v>
      </c>
      <c r="G561" t="s">
        <v>4857</v>
      </c>
      <c r="V561" s="2">
        <v>33865</v>
      </c>
      <c r="W561" s="2">
        <v>34233</v>
      </c>
      <c r="X561" t="s">
        <v>51</v>
      </c>
    </row>
    <row r="562" spans="1:24" x14ac:dyDescent="0.2">
      <c r="A562" t="s">
        <v>5645</v>
      </c>
      <c r="B562" t="s">
        <v>5646</v>
      </c>
      <c r="D562" t="s">
        <v>782</v>
      </c>
      <c r="I562" t="s">
        <v>785</v>
      </c>
      <c r="J562" t="s">
        <v>786</v>
      </c>
      <c r="K562" t="s">
        <v>5647</v>
      </c>
      <c r="L562" s="2">
        <v>44562</v>
      </c>
      <c r="N562" t="s">
        <v>5648</v>
      </c>
      <c r="O562" t="s">
        <v>641</v>
      </c>
      <c r="P562" t="s">
        <v>787</v>
      </c>
      <c r="Q562" t="s">
        <v>5649</v>
      </c>
      <c r="R562" s="2">
        <v>43467</v>
      </c>
      <c r="S562" s="2">
        <v>43470</v>
      </c>
      <c r="T562" t="s">
        <v>5156</v>
      </c>
      <c r="U562" t="s">
        <v>641</v>
      </c>
      <c r="V562" t="s">
        <v>4231</v>
      </c>
      <c r="X562" t="s">
        <v>51</v>
      </c>
    </row>
    <row r="563" spans="1:24" x14ac:dyDescent="0.2">
      <c r="A563" t="s">
        <v>5650</v>
      </c>
      <c r="B563" t="s">
        <v>5646</v>
      </c>
      <c r="D563" t="s">
        <v>2618</v>
      </c>
      <c r="E563" t="s">
        <v>2619</v>
      </c>
      <c r="G563" t="s">
        <v>4857</v>
      </c>
      <c r="I563" t="s">
        <v>2620</v>
      </c>
      <c r="J563" t="s">
        <v>5651</v>
      </c>
      <c r="K563" t="s">
        <v>5652</v>
      </c>
      <c r="L563" s="2">
        <v>43106</v>
      </c>
      <c r="N563" t="s">
        <v>5653</v>
      </c>
      <c r="O563" t="s">
        <v>309</v>
      </c>
      <c r="P563" t="s">
        <v>573</v>
      </c>
      <c r="Q563" t="s">
        <v>5652</v>
      </c>
      <c r="R563" s="2">
        <v>43102</v>
      </c>
      <c r="S563" s="2">
        <v>43106</v>
      </c>
      <c r="T563" t="s">
        <v>5156</v>
      </c>
      <c r="U563" t="s">
        <v>309</v>
      </c>
      <c r="V563" s="2">
        <v>40687</v>
      </c>
      <c r="W563" s="2">
        <v>40985</v>
      </c>
      <c r="X563" t="s">
        <v>290</v>
      </c>
    </row>
    <row r="564" spans="1:24" x14ac:dyDescent="0.2">
      <c r="A564" t="s">
        <v>5654</v>
      </c>
      <c r="B564" t="s">
        <v>5655</v>
      </c>
      <c r="C564" t="s">
        <v>3928</v>
      </c>
      <c r="D564" t="s">
        <v>1312</v>
      </c>
      <c r="I564" t="s">
        <v>1315</v>
      </c>
      <c r="J564" t="s">
        <v>5656</v>
      </c>
      <c r="V564" s="2">
        <v>43843</v>
      </c>
      <c r="X564" t="s">
        <v>51</v>
      </c>
    </row>
    <row r="565" spans="1:24" x14ac:dyDescent="0.2">
      <c r="A565" t="s">
        <v>5657</v>
      </c>
      <c r="B565" t="s">
        <v>5658</v>
      </c>
      <c r="C565" t="s">
        <v>5659</v>
      </c>
      <c r="D565" t="s">
        <v>3132</v>
      </c>
      <c r="E565" t="s">
        <v>3133</v>
      </c>
      <c r="I565" t="s">
        <v>5660</v>
      </c>
      <c r="J565" t="s">
        <v>3135</v>
      </c>
      <c r="K565" t="s">
        <v>5661</v>
      </c>
      <c r="L565" s="2">
        <v>42374</v>
      </c>
      <c r="N565" t="s">
        <v>5193</v>
      </c>
      <c r="O565" t="s">
        <v>136</v>
      </c>
      <c r="P565" t="s">
        <v>3136</v>
      </c>
      <c r="Q565" t="s">
        <v>5662</v>
      </c>
      <c r="R565" t="s">
        <v>5320</v>
      </c>
      <c r="S565" s="2">
        <v>42010</v>
      </c>
      <c r="T565" t="s">
        <v>5193</v>
      </c>
      <c r="U565" t="s">
        <v>136</v>
      </c>
      <c r="V565" s="2">
        <v>41310</v>
      </c>
      <c r="W565" s="2">
        <v>41554</v>
      </c>
      <c r="X565" t="s">
        <v>51</v>
      </c>
    </row>
    <row r="566" spans="1:24" x14ac:dyDescent="0.2">
      <c r="A566" t="s">
        <v>5663</v>
      </c>
      <c r="B566" t="s">
        <v>5658</v>
      </c>
      <c r="D566" t="s">
        <v>2235</v>
      </c>
      <c r="G566" t="s">
        <v>4857</v>
      </c>
      <c r="I566" t="s">
        <v>2241</v>
      </c>
      <c r="J566" t="s">
        <v>5664</v>
      </c>
      <c r="K566" t="s">
        <v>3704</v>
      </c>
      <c r="L566" s="2">
        <v>41642</v>
      </c>
      <c r="N566" t="s">
        <v>5526</v>
      </c>
      <c r="O566" t="s">
        <v>136</v>
      </c>
      <c r="P566" t="s">
        <v>424</v>
      </c>
      <c r="Q566" t="s">
        <v>4477</v>
      </c>
      <c r="R566" s="2">
        <v>42744</v>
      </c>
      <c r="S566" s="2">
        <v>44929</v>
      </c>
      <c r="T566" t="s">
        <v>5156</v>
      </c>
      <c r="U566" t="s">
        <v>106</v>
      </c>
      <c r="V566" s="2">
        <v>33240</v>
      </c>
      <c r="W566" s="2">
        <v>33602</v>
      </c>
      <c r="X566" t="s">
        <v>51</v>
      </c>
    </row>
    <row r="567" spans="1:24" x14ac:dyDescent="0.2">
      <c r="A567" t="s">
        <v>5665</v>
      </c>
      <c r="B567" t="s">
        <v>5658</v>
      </c>
      <c r="D567" t="s">
        <v>2577</v>
      </c>
      <c r="G567" t="s">
        <v>4857</v>
      </c>
      <c r="V567" s="2">
        <v>43480</v>
      </c>
      <c r="X567" t="s">
        <v>51</v>
      </c>
    </row>
    <row r="568" spans="1:24" x14ac:dyDescent="0.2">
      <c r="A568" t="s">
        <v>5666</v>
      </c>
      <c r="B568" t="s">
        <v>5667</v>
      </c>
      <c r="C568" t="s">
        <v>5668</v>
      </c>
      <c r="D568" t="s">
        <v>215</v>
      </c>
      <c r="E568" t="s">
        <v>218</v>
      </c>
      <c r="X568" t="s">
        <v>51</v>
      </c>
    </row>
    <row r="569" spans="1:24" x14ac:dyDescent="0.2">
      <c r="A569" t="s">
        <v>5669</v>
      </c>
      <c r="B569" t="s">
        <v>5670</v>
      </c>
      <c r="D569" t="s">
        <v>2580</v>
      </c>
      <c r="E569" t="s">
        <v>2582</v>
      </c>
      <c r="G569" t="s">
        <v>5671</v>
      </c>
      <c r="I569" t="s">
        <v>5672</v>
      </c>
      <c r="J569" t="s">
        <v>5673</v>
      </c>
      <c r="K569" t="s">
        <v>5674</v>
      </c>
      <c r="L569" s="2">
        <v>43474</v>
      </c>
      <c r="N569" t="s">
        <v>5675</v>
      </c>
      <c r="O569" t="s">
        <v>980</v>
      </c>
      <c r="P569" t="s">
        <v>1927</v>
      </c>
      <c r="Q569" t="s">
        <v>5676</v>
      </c>
      <c r="R569" s="2">
        <v>42378</v>
      </c>
      <c r="S569" s="2">
        <v>43473</v>
      </c>
      <c r="T569" t="s">
        <v>5675</v>
      </c>
      <c r="U569" t="s">
        <v>980</v>
      </c>
      <c r="V569" s="2">
        <v>38896</v>
      </c>
      <c r="W569" s="2">
        <v>39126</v>
      </c>
      <c r="X569" t="s">
        <v>51</v>
      </c>
    </row>
    <row r="570" spans="1:24" x14ac:dyDescent="0.2">
      <c r="A570" t="s">
        <v>5677</v>
      </c>
      <c r="B570" t="s">
        <v>5678</v>
      </c>
      <c r="C570" t="s">
        <v>5679</v>
      </c>
      <c r="D570" t="s">
        <v>2287</v>
      </c>
      <c r="G570" t="s">
        <v>4857</v>
      </c>
      <c r="I570" t="s">
        <v>2291</v>
      </c>
      <c r="J570" t="s">
        <v>5680</v>
      </c>
      <c r="K570" t="s">
        <v>5681</v>
      </c>
      <c r="O570" t="s">
        <v>46</v>
      </c>
      <c r="V570" s="2">
        <v>36325</v>
      </c>
      <c r="W570" s="2">
        <v>36584</v>
      </c>
      <c r="X570" t="s">
        <v>51</v>
      </c>
    </row>
    <row r="571" spans="1:24" x14ac:dyDescent="0.2">
      <c r="A571" t="s">
        <v>5682</v>
      </c>
      <c r="B571" t="s">
        <v>5678</v>
      </c>
      <c r="D571" t="s">
        <v>2287</v>
      </c>
      <c r="G571" t="s">
        <v>4857</v>
      </c>
      <c r="I571" t="s">
        <v>2291</v>
      </c>
      <c r="K571" t="s">
        <v>5681</v>
      </c>
      <c r="O571" t="s">
        <v>46</v>
      </c>
      <c r="V571" s="2">
        <v>36325</v>
      </c>
      <c r="W571" s="2">
        <v>36584</v>
      </c>
      <c r="X571" t="s">
        <v>51</v>
      </c>
    </row>
    <row r="572" spans="1:24" x14ac:dyDescent="0.2">
      <c r="A572" t="s">
        <v>5683</v>
      </c>
      <c r="B572" t="s">
        <v>5684</v>
      </c>
      <c r="D572" t="s">
        <v>3118</v>
      </c>
      <c r="E572" t="s">
        <v>3120</v>
      </c>
      <c r="G572" t="s">
        <v>5685</v>
      </c>
      <c r="I572" t="s">
        <v>5686</v>
      </c>
      <c r="J572" t="s">
        <v>5687</v>
      </c>
      <c r="K572" t="s">
        <v>5688</v>
      </c>
      <c r="L572" s="2">
        <v>42744</v>
      </c>
      <c r="N572" t="s">
        <v>5689</v>
      </c>
      <c r="O572" t="s">
        <v>980</v>
      </c>
      <c r="P572" t="s">
        <v>5690</v>
      </c>
      <c r="Q572" t="s">
        <v>5691</v>
      </c>
      <c r="R572" t="s">
        <v>5692</v>
      </c>
      <c r="S572" s="2">
        <v>42737</v>
      </c>
      <c r="T572" t="s">
        <v>5689</v>
      </c>
      <c r="U572" t="s">
        <v>1053</v>
      </c>
      <c r="V572" s="2">
        <v>36280</v>
      </c>
      <c r="W572" s="2">
        <v>36584</v>
      </c>
      <c r="X572" t="s">
        <v>51</v>
      </c>
    </row>
  </sheetData>
  <hyperlinks>
    <hyperlink ref="I2" r:id="rId1" xr:uid="{CF470C45-B982-D640-AEE9-16318A0EED6C}"/>
    <hyperlink ref="I3" r:id="rId2" xr:uid="{8D3B9121-713A-4849-A60E-B636C01775E2}"/>
    <hyperlink ref="I4" r:id="rId3" xr:uid="{6E5E91C3-4C0C-DC4B-8A09-6CF420A3A734}"/>
    <hyperlink ref="I5" r:id="rId4" xr:uid="{0D178D04-4886-D642-B4FA-0CE6EB766D2B}"/>
    <hyperlink ref="I6" r:id="rId5" xr:uid="{DE6D5533-630E-384A-BC09-6317EFBDD775}"/>
    <hyperlink ref="I7" r:id="rId6" xr:uid="{08CFE8D7-7615-4642-979B-9B03ED3EEE51}"/>
    <hyperlink ref="I8" r:id="rId7" xr:uid="{7A639B2D-653B-ED4A-A0E9-94C4362BEA4E}"/>
    <hyperlink ref="I9" r:id="rId8" xr:uid="{FFBE2DCD-B0CC-D04B-86E3-C5BC6F56A185}"/>
    <hyperlink ref="I10" r:id="rId9" xr:uid="{10346BF3-A020-274F-92D1-CB8FA70A9C11}"/>
    <hyperlink ref="I11" r:id="rId10" xr:uid="{93C05BC3-6AB3-B547-A489-4E1B70471F2B}"/>
    <hyperlink ref="I13" r:id="rId11" xr:uid="{0B9F3473-44B8-EB43-90FB-1A380C795DC1}"/>
    <hyperlink ref="I14" r:id="rId12" xr:uid="{58CB94BC-D1B9-6340-A9F8-614C306AA449}"/>
    <hyperlink ref="I15" r:id="rId13" xr:uid="{67743A70-D7DD-094C-AE53-9C691176EB04}"/>
    <hyperlink ref="I16" r:id="rId14" xr:uid="{E61BCA22-427D-5B42-B286-CB065A5C9E70}"/>
    <hyperlink ref="I19" r:id="rId15" xr:uid="{3B3E3D5B-7716-8C4A-ABC7-4CEE4E3E4504}"/>
    <hyperlink ref="I20" r:id="rId16" xr:uid="{48EF231C-35E5-5840-A005-17BAFF00B75B}"/>
    <hyperlink ref="I21" r:id="rId17" xr:uid="{FD09A64E-8E24-0146-857E-D225701C5058}"/>
    <hyperlink ref="I22" r:id="rId18" xr:uid="{1E2EBA6F-85FE-1948-9CB8-EF6C46EC5E02}"/>
    <hyperlink ref="I23" r:id="rId19" xr:uid="{A0F1F036-84E9-BA4D-858F-E0FC641E8124}"/>
    <hyperlink ref="I24" r:id="rId20" xr:uid="{892CAF65-F8EB-EA48-A73C-563B9FFA3075}"/>
    <hyperlink ref="I25" r:id="rId21" xr:uid="{05C3D8A5-F880-A042-8C03-6FB7CE689926}"/>
    <hyperlink ref="I26" r:id="rId22" xr:uid="{F0A0BE3A-DD61-3A4A-91B6-8ADCEEBBBB47}"/>
    <hyperlink ref="I27" r:id="rId23" xr:uid="{3C5B5B45-B663-2E44-92F0-5E4193A86021}"/>
    <hyperlink ref="I28" r:id="rId24" xr:uid="{B778798E-4BAF-D841-9CE4-B9B6BE764A0B}"/>
    <hyperlink ref="I29" r:id="rId25" xr:uid="{69F7C5CE-32F6-F04E-B741-D57FA34DBA2D}"/>
    <hyperlink ref="I30" r:id="rId26" xr:uid="{01E57D78-3A0A-A14E-8910-BDABDDE99BF6}"/>
    <hyperlink ref="I31" r:id="rId27" xr:uid="{DC4C0582-E47B-BF47-A031-C613576F51EB}"/>
    <hyperlink ref="I33" r:id="rId28" xr:uid="{D5456815-72E5-D840-9B71-CE7E0E1FE9E9}"/>
    <hyperlink ref="I34" r:id="rId29" xr:uid="{38052735-A960-184E-A78C-9CFD3E9D00E8}"/>
    <hyperlink ref="I35" r:id="rId30" xr:uid="{0CEC4E0B-0AFD-3540-8DFD-B329E9B85B8D}"/>
    <hyperlink ref="I36" r:id="rId31" xr:uid="{8E52AE2D-7F69-D841-894F-A8E3685270B7}"/>
    <hyperlink ref="I37" r:id="rId32" xr:uid="{8881AFB4-2196-244E-B2B2-87846C34AD51}"/>
    <hyperlink ref="I38" r:id="rId33" xr:uid="{E246A20C-70F3-F44F-BFBC-E25832B1EFF6}"/>
    <hyperlink ref="I39" r:id="rId34" xr:uid="{2A77E4F1-D493-F642-BA1E-6B4C3C7575BD}"/>
    <hyperlink ref="I40" r:id="rId35" xr:uid="{6E988B98-B525-3741-A643-9597CC641A04}"/>
    <hyperlink ref="I41" r:id="rId36" xr:uid="{393FCC8E-F17F-4E41-98D8-CDE3F92A6EDC}"/>
    <hyperlink ref="I42" r:id="rId37" xr:uid="{F0BFEBD9-AFB7-3F44-AE55-C4F54812E551}"/>
    <hyperlink ref="I43" r:id="rId38" xr:uid="{B867B0B8-1D8F-7B48-8122-FBA3A2203DD4}"/>
    <hyperlink ref="I44" r:id="rId39" xr:uid="{521450E3-BF47-744F-A2F3-4D86D21A1F8F}"/>
    <hyperlink ref="I45" r:id="rId40" xr:uid="{26F0DDDB-6F76-4F4A-BDEA-6BBDBC0A199C}"/>
    <hyperlink ref="I46" r:id="rId41" xr:uid="{87FC95CA-B6A4-EB47-8C64-3D1527B4884B}"/>
    <hyperlink ref="I47" r:id="rId42" xr:uid="{8856F5E6-A47C-574F-AF66-B18F491447A1}"/>
    <hyperlink ref="I48" r:id="rId43" xr:uid="{842D3103-5A1F-7A49-A906-813754E1A951}"/>
    <hyperlink ref="I49" r:id="rId44" xr:uid="{33626DCC-060A-2342-AD52-34D2B208083A}"/>
    <hyperlink ref="I50" r:id="rId45" xr:uid="{0D7FB024-A1BF-7B48-86EE-9EA563C38E75}"/>
    <hyperlink ref="I51" r:id="rId46" xr:uid="{E9993B1C-95E2-B644-ACCB-A341D6F1BF97}"/>
    <hyperlink ref="I53" r:id="rId47" xr:uid="{6C90E907-DC86-FA41-8C3C-C8B85B373712}"/>
    <hyperlink ref="I54" r:id="rId48" xr:uid="{D0B6EC19-610D-534B-B16D-5D602DDFB387}"/>
    <hyperlink ref="I55" r:id="rId49" xr:uid="{B7514A9C-D3EA-A146-8F1E-BA5A33B79CE0}"/>
    <hyperlink ref="I56" r:id="rId50" xr:uid="{77B2D86C-A6EB-9E45-AFF5-C144E21804EC}"/>
    <hyperlink ref="I57" r:id="rId51" xr:uid="{63F28C7F-7A29-B74B-8826-1C2E859C879E}"/>
    <hyperlink ref="I58" r:id="rId52" xr:uid="{9DC365A1-6F56-0943-B7E8-B874C41A57DA}"/>
    <hyperlink ref="I59" r:id="rId53" xr:uid="{98B72FDA-C811-0B4D-ADAA-4CF1DE47852E}"/>
    <hyperlink ref="I61" r:id="rId54" xr:uid="{03B4F2C2-E0B9-0F42-99A5-26B3B2E14150}"/>
    <hyperlink ref="I62" r:id="rId55" xr:uid="{9FFFB602-CC32-BD47-8128-7D8AF2AECCBB}"/>
    <hyperlink ref="I63" r:id="rId56" xr:uid="{D86D1DB9-7258-2F48-B832-24C107802DF2}"/>
    <hyperlink ref="I65" r:id="rId57" xr:uid="{C16BFADD-658C-774F-B954-EF5D38BA539A}"/>
    <hyperlink ref="I66" r:id="rId58" xr:uid="{BDA49285-86F0-4B48-BA43-160CC21CB95C}"/>
    <hyperlink ref="I68" r:id="rId59" xr:uid="{0FBFFA42-21B3-3A49-BA61-8100B1D9E9C4}"/>
    <hyperlink ref="I69" r:id="rId60" xr:uid="{6E2FFFA3-A43E-224E-A9A2-5643BC6D4E81}"/>
    <hyperlink ref="I72" r:id="rId61" xr:uid="{CA64511B-1E87-114C-BEA3-425EE0021846}"/>
    <hyperlink ref="I73" r:id="rId62" xr:uid="{C7F7CAEC-FA45-3C43-8304-E2F004427C61}"/>
    <hyperlink ref="I74" r:id="rId63" xr:uid="{AF9E5C69-B0ED-EC4A-93C5-12DB52973F0E}"/>
    <hyperlink ref="I75" r:id="rId64" xr:uid="{6C9317A0-D7EC-0945-9258-C8625BD48460}"/>
    <hyperlink ref="I76" r:id="rId65" xr:uid="{55C59EA1-9B37-EA41-870C-65EDEC95831B}"/>
    <hyperlink ref="I78" r:id="rId66" xr:uid="{99D584AF-D56E-C341-BB90-640C436EF41C}"/>
    <hyperlink ref="I79" r:id="rId67" xr:uid="{5CAE744A-888F-A248-9A81-4F01B5FDB738}"/>
    <hyperlink ref="I81" r:id="rId68" xr:uid="{C2B01FAF-1A9A-E645-B2C9-31FFC680DC59}"/>
    <hyperlink ref="I82" r:id="rId69" xr:uid="{27CAAADE-EDE9-4242-B1F3-499FD7F88ED5}"/>
    <hyperlink ref="I83" r:id="rId70" xr:uid="{2C1E9DFB-5B97-8A4D-89F1-102F0C72881A}"/>
    <hyperlink ref="I85" r:id="rId71" xr:uid="{729C138D-0964-394D-BF88-C53F87FC5DC2}"/>
    <hyperlink ref="I86" r:id="rId72" xr:uid="{E9C4067E-86C3-C141-B685-06F2B7311228}"/>
    <hyperlink ref="I87" r:id="rId73" xr:uid="{5E360F4A-E005-9747-95BB-9B68B2DFEB1E}"/>
    <hyperlink ref="I88" r:id="rId74" xr:uid="{C2954BC9-D6C4-F44D-9D19-FC4B4574675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92E71-1C30-A640-8494-85D1D529092A}">
  <dimension ref="B2:C26"/>
  <sheetViews>
    <sheetView workbookViewId="0">
      <selection activeCell="B2" sqref="B2"/>
    </sheetView>
  </sheetViews>
  <sheetFormatPr baseColWidth="10" defaultColWidth="11" defaultRowHeight="16" x14ac:dyDescent="0.2"/>
  <sheetData>
    <row r="2" spans="2:3" x14ac:dyDescent="0.2">
      <c r="B2" t="s">
        <v>5693</v>
      </c>
      <c r="C2">
        <v>1</v>
      </c>
    </row>
    <row r="3" spans="2:3" x14ac:dyDescent="0.2">
      <c r="B3" t="s">
        <v>5694</v>
      </c>
      <c r="C3">
        <v>2</v>
      </c>
    </row>
    <row r="4" spans="2:3" x14ac:dyDescent="0.2">
      <c r="B4" t="s">
        <v>5695</v>
      </c>
      <c r="C4">
        <v>3</v>
      </c>
    </row>
    <row r="5" spans="2:3" x14ac:dyDescent="0.2">
      <c r="B5" t="s">
        <v>5696</v>
      </c>
      <c r="C5">
        <v>4</v>
      </c>
    </row>
    <row r="6" spans="2:3" x14ac:dyDescent="0.2">
      <c r="B6" t="s">
        <v>5697</v>
      </c>
      <c r="C6">
        <v>5</v>
      </c>
    </row>
    <row r="7" spans="2:3" x14ac:dyDescent="0.2">
      <c r="B7" t="s">
        <v>5698</v>
      </c>
      <c r="C7">
        <v>6</v>
      </c>
    </row>
    <row r="8" spans="2:3" x14ac:dyDescent="0.2">
      <c r="B8" t="s">
        <v>5699</v>
      </c>
      <c r="C8">
        <v>7</v>
      </c>
    </row>
    <row r="9" spans="2:3" x14ac:dyDescent="0.2">
      <c r="B9" t="s">
        <v>5700</v>
      </c>
      <c r="C9">
        <v>8</v>
      </c>
    </row>
    <row r="10" spans="2:3" x14ac:dyDescent="0.2">
      <c r="B10" t="s">
        <v>5701</v>
      </c>
      <c r="C10">
        <v>9</v>
      </c>
    </row>
    <row r="11" spans="2:3" x14ac:dyDescent="0.2">
      <c r="B11" t="s">
        <v>5702</v>
      </c>
      <c r="C11">
        <v>10</v>
      </c>
    </row>
    <row r="12" spans="2:3" x14ac:dyDescent="0.2">
      <c r="B12" t="s">
        <v>5703</v>
      </c>
      <c r="C12">
        <v>11</v>
      </c>
    </row>
    <row r="13" spans="2:3" x14ac:dyDescent="0.2">
      <c r="B13" t="s">
        <v>5704</v>
      </c>
      <c r="C13">
        <v>12</v>
      </c>
    </row>
    <row r="15" spans="2:3" x14ac:dyDescent="0.2">
      <c r="B15" t="s">
        <v>5705</v>
      </c>
      <c r="C15">
        <v>1</v>
      </c>
    </row>
    <row r="16" spans="2:3" x14ac:dyDescent="0.2">
      <c r="B16" t="s">
        <v>5706</v>
      </c>
      <c r="C16">
        <v>2</v>
      </c>
    </row>
    <row r="17" spans="2:3" x14ac:dyDescent="0.2">
      <c r="B17" t="s">
        <v>5707</v>
      </c>
      <c r="C17">
        <v>3</v>
      </c>
    </row>
    <row r="18" spans="2:3" x14ac:dyDescent="0.2">
      <c r="B18" t="s">
        <v>5708</v>
      </c>
      <c r="C18">
        <v>4</v>
      </c>
    </row>
    <row r="19" spans="2:3" x14ac:dyDescent="0.2">
      <c r="B19" t="s">
        <v>5709</v>
      </c>
      <c r="C19">
        <v>5</v>
      </c>
    </row>
    <row r="20" spans="2:3" x14ac:dyDescent="0.2">
      <c r="B20" t="s">
        <v>5710</v>
      </c>
      <c r="C20">
        <v>6</v>
      </c>
    </row>
    <row r="21" spans="2:3" x14ac:dyDescent="0.2">
      <c r="B21" t="s">
        <v>5711</v>
      </c>
      <c r="C21">
        <v>7</v>
      </c>
    </row>
    <row r="22" spans="2:3" x14ac:dyDescent="0.2">
      <c r="B22" t="s">
        <v>5712</v>
      </c>
      <c r="C22">
        <v>8</v>
      </c>
    </row>
    <row r="23" spans="2:3" x14ac:dyDescent="0.2">
      <c r="B23" t="s">
        <v>5713</v>
      </c>
      <c r="C23">
        <v>9</v>
      </c>
    </row>
    <row r="24" spans="2:3" x14ac:dyDescent="0.2">
      <c r="B24" t="s">
        <v>5714</v>
      </c>
      <c r="C24">
        <v>10</v>
      </c>
    </row>
    <row r="25" spans="2:3" x14ac:dyDescent="0.2">
      <c r="B25" t="s">
        <v>5715</v>
      </c>
      <c r="C25">
        <v>11</v>
      </c>
    </row>
    <row r="26" spans="2:3" x14ac:dyDescent="0.2">
      <c r="B26" t="s">
        <v>5716</v>
      </c>
      <c r="C26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571F4-E9FD-854D-BE7F-7882FEDF8C07}">
  <dimension ref="A1:G80"/>
  <sheetViews>
    <sheetView topLeftCell="A69" zoomScale="135" workbookViewId="0">
      <selection activeCell="A91" sqref="A91"/>
    </sheetView>
  </sheetViews>
  <sheetFormatPr baseColWidth="10" defaultColWidth="11" defaultRowHeight="16" x14ac:dyDescent="0.2"/>
  <cols>
    <col min="1" max="1" width="30.5" bestFit="1" customWidth="1"/>
    <col min="4" max="4" width="31.6640625" bestFit="1" customWidth="1"/>
  </cols>
  <sheetData>
    <row r="1" spans="1:7" x14ac:dyDescent="0.2">
      <c r="A1" t="s">
        <v>4085</v>
      </c>
      <c r="B1" t="e">
        <f>SUM(COUNTIF(#REF!,A1),COUNTIF(#REF!,A1))</f>
        <v>#REF!</v>
      </c>
      <c r="D1" t="s">
        <v>325</v>
      </c>
      <c r="E1">
        <v>6</v>
      </c>
      <c r="G1" t="e">
        <f>IF(O2=OR("AI","Business Intelligence", "Computer Software", "Cyber Security", "Information", "Internet", "IT", "IT &amp; Communication", "Tech", "TLC"), "Technology", IF(O2=OR("Construction","Shipbuilding","Maritime"), "Construction", IF(O2 = OR("Public Administration", "Institution", "Public Policy"), "Public Policy", IF( O2 = OR("Management", "Consulting Advisory", "Management Consulting"), "Consulting", IF( O2 = OR("Publishing", "Marketing &amp; Advertising", "Media"), "Media &amp; Marketing", IF( O2 = OR("Electrical/Electronic Manufacturing", "Oil &amp; Energy"), "Energy", IF( O2 = OR("Real Estate", "Fondo (inclusi PE)"), "Investments", IF( O2 = OR("Research", "University"), "Education", O2))))))))</f>
        <v>#VALUE!</v>
      </c>
    </row>
    <row r="2" spans="1:7" x14ac:dyDescent="0.2">
      <c r="A2" s="5" t="s">
        <v>5717</v>
      </c>
      <c r="B2" t="e">
        <f>SUM(COUNTIF(#REF!,A2),COUNTIF(#REF!,A2))</f>
        <v>#REF!</v>
      </c>
      <c r="C2">
        <v>1</v>
      </c>
      <c r="D2" t="s">
        <v>174</v>
      </c>
      <c r="E2">
        <v>6</v>
      </c>
    </row>
    <row r="3" spans="1:7" x14ac:dyDescent="0.2">
      <c r="A3" s="5" t="s">
        <v>5718</v>
      </c>
      <c r="B3" t="e">
        <f>SUM(COUNTIF(#REF!,A3),COUNTIF(#REF!,A3))</f>
        <v>#REF!</v>
      </c>
      <c r="C3">
        <v>1</v>
      </c>
    </row>
    <row r="4" spans="1:7" x14ac:dyDescent="0.2">
      <c r="A4" s="18" t="s">
        <v>339</v>
      </c>
      <c r="B4" t="e">
        <f>SUM(COUNTIF(#REF!,A4),COUNTIF(#REF!,A4))</f>
        <v>#REF!</v>
      </c>
      <c r="C4">
        <v>1</v>
      </c>
      <c r="D4" t="s">
        <v>91</v>
      </c>
      <c r="E4">
        <v>9</v>
      </c>
    </row>
    <row r="5" spans="1:7" x14ac:dyDescent="0.2">
      <c r="A5" s="5" t="s">
        <v>5719</v>
      </c>
      <c r="B5" t="e">
        <f>SUM(COUNTIF(#REF!,A5),COUNTIF(#REF!,A5))</f>
        <v>#REF!</v>
      </c>
      <c r="C5">
        <v>1</v>
      </c>
      <c r="D5" t="s">
        <v>156</v>
      </c>
      <c r="E5">
        <v>87</v>
      </c>
    </row>
    <row r="6" spans="1:7" x14ac:dyDescent="0.2">
      <c r="A6" s="5" t="s">
        <v>50</v>
      </c>
      <c r="B6" t="e">
        <f>SUM(COUNTIF(#REF!,A6),COUNTIF(#REF!,A6))</f>
        <v>#REF!</v>
      </c>
      <c r="C6">
        <v>1</v>
      </c>
    </row>
    <row r="7" spans="1:7" x14ac:dyDescent="0.2">
      <c r="A7" s="8" t="s">
        <v>5720</v>
      </c>
      <c r="B7" t="e">
        <f>SUM(COUNTIF(#REF!,A7),COUNTIF(#REF!,A7))</f>
        <v>#REF!</v>
      </c>
      <c r="C7">
        <v>1</v>
      </c>
      <c r="D7" t="s">
        <v>5721</v>
      </c>
      <c r="E7">
        <v>14</v>
      </c>
    </row>
    <row r="8" spans="1:7" x14ac:dyDescent="0.2">
      <c r="A8" s="20" t="s">
        <v>5722</v>
      </c>
      <c r="B8" t="e">
        <f>SUM(COUNTIF(#REF!,A8),COUNTIF(#REF!,A8))</f>
        <v>#REF!</v>
      </c>
      <c r="C8">
        <v>1</v>
      </c>
      <c r="D8" t="s">
        <v>402</v>
      </c>
      <c r="E8">
        <v>38</v>
      </c>
    </row>
    <row r="9" spans="1:7" x14ac:dyDescent="0.2">
      <c r="A9" s="19" t="s">
        <v>5723</v>
      </c>
      <c r="B9" t="e">
        <f>SUM(COUNTIF(#REF!,A9),COUNTIF(#REF!,A9))</f>
        <v>#REF!</v>
      </c>
      <c r="C9">
        <v>1</v>
      </c>
    </row>
    <row r="10" spans="1:7" x14ac:dyDescent="0.2">
      <c r="A10" s="18" t="s">
        <v>5724</v>
      </c>
      <c r="B10" t="e">
        <f>SUM(COUNTIF(#REF!,A10),COUNTIF(#REF!,A10))</f>
        <v>#REF!</v>
      </c>
      <c r="C10">
        <v>1</v>
      </c>
      <c r="D10" t="s">
        <v>2249</v>
      </c>
      <c r="E10">
        <v>2</v>
      </c>
    </row>
    <row r="11" spans="1:7" x14ac:dyDescent="0.2">
      <c r="A11" s="8" t="s">
        <v>5725</v>
      </c>
      <c r="B11" t="e">
        <f>SUM(COUNTIF(#REF!,A11),COUNTIF(#REF!,A11))</f>
        <v>#REF!</v>
      </c>
      <c r="C11">
        <v>1</v>
      </c>
      <c r="D11" t="s">
        <v>106</v>
      </c>
      <c r="E11">
        <v>35</v>
      </c>
    </row>
    <row r="12" spans="1:7" x14ac:dyDescent="0.2">
      <c r="A12" s="12" t="s">
        <v>581</v>
      </c>
      <c r="B12" t="e">
        <f>SUM(COUNTIF(#REF!,A12),COUNTIF(#REF!,A12))</f>
        <v>#REF!</v>
      </c>
      <c r="C12">
        <v>1</v>
      </c>
      <c r="D12" t="s">
        <v>666</v>
      </c>
      <c r="E12">
        <v>1</v>
      </c>
    </row>
    <row r="13" spans="1:7" x14ac:dyDescent="0.2">
      <c r="A13" s="5" t="s">
        <v>5726</v>
      </c>
      <c r="B13" t="e">
        <f>SUM(COUNTIF(#REF!,A13),COUNTIF(#REF!,A13))</f>
        <v>#REF!</v>
      </c>
      <c r="C13">
        <v>1</v>
      </c>
      <c r="D13" t="s">
        <v>1053</v>
      </c>
      <c r="E13">
        <v>8</v>
      </c>
    </row>
    <row r="14" spans="1:7" x14ac:dyDescent="0.2">
      <c r="A14" s="19" t="s">
        <v>5727</v>
      </c>
      <c r="B14" t="e">
        <f>SUM(COUNTIF(#REF!,A14),COUNTIF(#REF!,A14))</f>
        <v>#REF!</v>
      </c>
      <c r="C14">
        <v>1</v>
      </c>
      <c r="D14" t="s">
        <v>536</v>
      </c>
      <c r="E14">
        <v>4</v>
      </c>
    </row>
    <row r="15" spans="1:7" x14ac:dyDescent="0.2">
      <c r="A15" s="10" t="s">
        <v>5728</v>
      </c>
      <c r="B15" t="e">
        <f>SUM(COUNTIF(#REF!,A15),COUNTIF(#REF!,A15))</f>
        <v>#REF!</v>
      </c>
      <c r="C15">
        <v>1</v>
      </c>
      <c r="D15" t="s">
        <v>980</v>
      </c>
      <c r="E15">
        <v>15</v>
      </c>
    </row>
    <row r="16" spans="1:7" x14ac:dyDescent="0.2">
      <c r="A16" s="18" t="s">
        <v>5729</v>
      </c>
      <c r="B16" t="e">
        <f>SUM(COUNTIF(#REF!,A16),COUNTIF(#REF!,A16))</f>
        <v>#REF!</v>
      </c>
      <c r="C16">
        <v>1</v>
      </c>
    </row>
    <row r="17" spans="1:5" x14ac:dyDescent="0.2">
      <c r="A17" s="12" t="s">
        <v>5730</v>
      </c>
      <c r="B17" t="e">
        <f>SUM(COUNTIF(#REF!,A17),COUNTIF(#REF!,A17))</f>
        <v>#REF!</v>
      </c>
      <c r="C17">
        <v>1</v>
      </c>
    </row>
    <row r="18" spans="1:5" x14ac:dyDescent="0.2">
      <c r="A18" s="20" t="s">
        <v>5731</v>
      </c>
      <c r="B18" t="e">
        <f>SUM(COUNTIF(#REF!,A18),COUNTIF(#REF!,A18))</f>
        <v>#REF!</v>
      </c>
      <c r="C18">
        <v>1</v>
      </c>
    </row>
    <row r="19" spans="1:5" x14ac:dyDescent="0.2">
      <c r="A19" s="14" t="s">
        <v>728</v>
      </c>
      <c r="B19" t="e">
        <f>SUM(COUNTIF(#REF!,A19),COUNTIF(#REF!,A19))</f>
        <v>#REF!</v>
      </c>
      <c r="C19">
        <v>1</v>
      </c>
    </row>
    <row r="20" spans="1:5" x14ac:dyDescent="0.2">
      <c r="A20" s="10" t="s">
        <v>5732</v>
      </c>
      <c r="B20" t="e">
        <f>SUM(COUNTIF(#REF!,A20),COUNTIF(#REF!,A20))</f>
        <v>#REF!</v>
      </c>
      <c r="C20">
        <v>1</v>
      </c>
    </row>
    <row r="21" spans="1:5" x14ac:dyDescent="0.2">
      <c r="A21" s="19" t="s">
        <v>5733</v>
      </c>
      <c r="B21" t="e">
        <f>SUM(COUNTIF(#REF!,A21),COUNTIF(#REF!,A21))</f>
        <v>#REF!</v>
      </c>
      <c r="C21">
        <v>1</v>
      </c>
      <c r="D21" t="s">
        <v>912</v>
      </c>
      <c r="E21">
        <v>5</v>
      </c>
    </row>
    <row r="22" spans="1:5" x14ac:dyDescent="0.2">
      <c r="A22" s="14" t="s">
        <v>5734</v>
      </c>
      <c r="B22" t="e">
        <f>SUM(COUNTIF(#REF!,A22),COUNTIF(#REF!,A22))</f>
        <v>#REF!</v>
      </c>
      <c r="C22">
        <v>1</v>
      </c>
    </row>
    <row r="23" spans="1:5" x14ac:dyDescent="0.2">
      <c r="A23" s="5" t="s">
        <v>5735</v>
      </c>
      <c r="B23" t="e">
        <f>SUM(COUNTIF(#REF!,A23),COUNTIF(#REF!,A23))</f>
        <v>#REF!</v>
      </c>
      <c r="C23">
        <v>1</v>
      </c>
    </row>
    <row r="24" spans="1:5" x14ac:dyDescent="0.2">
      <c r="A24" s="5" t="s">
        <v>5736</v>
      </c>
      <c r="B24" t="e">
        <f>SUM(COUNTIF(#REF!,A24),COUNTIF(#REF!,A24))</f>
        <v>#REF!</v>
      </c>
      <c r="C24">
        <v>1</v>
      </c>
    </row>
    <row r="25" spans="1:5" x14ac:dyDescent="0.2">
      <c r="A25" s="12" t="s">
        <v>5737</v>
      </c>
      <c r="B25" t="e">
        <f>SUM(COUNTIF(#REF!,A25),COUNTIF(#REF!,A25))</f>
        <v>#REF!</v>
      </c>
      <c r="C25">
        <v>1</v>
      </c>
      <c r="D25" t="s">
        <v>2861</v>
      </c>
      <c r="E25">
        <v>4</v>
      </c>
    </row>
    <row r="26" spans="1:5" x14ac:dyDescent="0.2">
      <c r="A26" s="5" t="s">
        <v>5738</v>
      </c>
      <c r="B26" t="e">
        <f>SUM(COUNTIF(#REF!,A26),COUNTIF(#REF!,A26))</f>
        <v>#REF!</v>
      </c>
      <c r="C26">
        <v>1</v>
      </c>
    </row>
    <row r="27" spans="1:5" x14ac:dyDescent="0.2">
      <c r="A27" s="5" t="s">
        <v>309</v>
      </c>
      <c r="B27" t="e">
        <f>SUM(COUNTIF(#REF!,A27),COUNTIF(#REF!,A27))</f>
        <v>#REF!</v>
      </c>
      <c r="C27">
        <v>1</v>
      </c>
      <c r="D27" t="s">
        <v>2116</v>
      </c>
      <c r="E27">
        <v>24</v>
      </c>
    </row>
    <row r="28" spans="1:5" x14ac:dyDescent="0.2">
      <c r="A28" s="5" t="s">
        <v>5739</v>
      </c>
      <c r="B28" t="e">
        <f>SUM(COUNTIF(#REF!,A28),COUNTIF(#REF!,A28))</f>
        <v>#REF!</v>
      </c>
      <c r="C28">
        <v>1</v>
      </c>
    </row>
    <row r="29" spans="1:5" x14ac:dyDescent="0.2">
      <c r="A29" s="20" t="s">
        <v>602</v>
      </c>
      <c r="B29" t="e">
        <f>SUM(COUNTIF(#REF!,A29),COUNTIF(#REF!,A29))</f>
        <v>#REF!</v>
      </c>
      <c r="C29">
        <v>1</v>
      </c>
      <c r="D29" t="s">
        <v>602</v>
      </c>
      <c r="E29">
        <v>17</v>
      </c>
    </row>
    <row r="30" spans="1:5" x14ac:dyDescent="0.2">
      <c r="A30" s="5" t="s">
        <v>5740</v>
      </c>
      <c r="B30" t="e">
        <f>SUM(COUNTIF(#REF!,A30),COUNTIF(#REF!,A30))</f>
        <v>#REF!</v>
      </c>
      <c r="C30">
        <v>1</v>
      </c>
    </row>
    <row r="31" spans="1:5" x14ac:dyDescent="0.2">
      <c r="A31" s="15" t="s">
        <v>214</v>
      </c>
      <c r="B31" t="e">
        <f>SUM(COUNTIF(#REF!,A31),COUNTIF(#REF!,A31))</f>
        <v>#REF!</v>
      </c>
      <c r="C31">
        <v>1</v>
      </c>
    </row>
    <row r="32" spans="1:5" x14ac:dyDescent="0.2">
      <c r="A32" s="8" t="s">
        <v>5741</v>
      </c>
      <c r="B32" t="e">
        <f>SUM(COUNTIF(#REF!,A32),COUNTIF(#REF!,A32))</f>
        <v>#REF!</v>
      </c>
      <c r="C32">
        <v>1</v>
      </c>
      <c r="D32" t="s">
        <v>483</v>
      </c>
      <c r="E32">
        <v>2</v>
      </c>
    </row>
    <row r="33" spans="1:5" x14ac:dyDescent="0.2">
      <c r="A33" s="10" t="s">
        <v>106</v>
      </c>
      <c r="B33" t="e">
        <f>SUM(COUNTIF(#REF!,A33),COUNTIF(#REF!,A33))</f>
        <v>#REF!</v>
      </c>
      <c r="C33">
        <v>1</v>
      </c>
    </row>
    <row r="34" spans="1:5" x14ac:dyDescent="0.2">
      <c r="A34" s="8" t="s">
        <v>67</v>
      </c>
      <c r="B34" t="e">
        <f>SUM(COUNTIF(#REF!,A34),COUNTIF(#REF!,A34))</f>
        <v>#REF!</v>
      </c>
      <c r="C34">
        <v>1</v>
      </c>
    </row>
    <row r="35" spans="1:5" x14ac:dyDescent="0.2">
      <c r="A35" s="23" t="s">
        <v>5742</v>
      </c>
      <c r="B35" t="e">
        <f>SUM(COUNTIF(#REF!,A35),COUNTIF(#REF!,A35))</f>
        <v>#REF!</v>
      </c>
      <c r="C35">
        <v>1</v>
      </c>
      <c r="D35" t="s">
        <v>4085</v>
      </c>
      <c r="E35">
        <v>1</v>
      </c>
    </row>
    <row r="36" spans="1:5" x14ac:dyDescent="0.2">
      <c r="A36" s="7" t="s">
        <v>5743</v>
      </c>
      <c r="B36" t="e">
        <f>SUM(COUNTIF(#REF!,A36),COUNTIF(#REF!,A36))</f>
        <v>#REF!</v>
      </c>
      <c r="C36">
        <v>1</v>
      </c>
    </row>
    <row r="37" spans="1:5" x14ac:dyDescent="0.2">
      <c r="A37" s="24" t="s">
        <v>4204</v>
      </c>
      <c r="B37" t="e">
        <f>SUM(COUNTIF(#REF!,A37),COUNTIF(#REF!,A37))</f>
        <v>#REF!</v>
      </c>
      <c r="C37">
        <v>1</v>
      </c>
    </row>
    <row r="38" spans="1:5" x14ac:dyDescent="0.2">
      <c r="A38" s="11" t="s">
        <v>5744</v>
      </c>
      <c r="B38" t="e">
        <f>SUM(COUNTIF(#REF!,A38),COUNTIF(#REF!,A38))</f>
        <v>#REF!</v>
      </c>
      <c r="C38">
        <v>1</v>
      </c>
      <c r="D38" t="s">
        <v>1140</v>
      </c>
      <c r="E38">
        <v>4</v>
      </c>
    </row>
    <row r="39" spans="1:5" x14ac:dyDescent="0.2">
      <c r="A39" t="s">
        <v>666</v>
      </c>
      <c r="B39" t="e">
        <f>SUM(COUNTIF(#REF!,A39),COUNTIF(#REF!,A39))</f>
        <v>#REF!</v>
      </c>
    </row>
    <row r="40" spans="1:5" x14ac:dyDescent="0.2">
      <c r="A40" s="13" t="s">
        <v>5745</v>
      </c>
      <c r="B40" t="e">
        <f>SUM(COUNTIF(#REF!,A40),COUNTIF(#REF!,A40))</f>
        <v>#REF!</v>
      </c>
      <c r="C40">
        <v>1</v>
      </c>
    </row>
    <row r="41" spans="1:5" x14ac:dyDescent="0.2">
      <c r="A41" s="7" t="s">
        <v>5746</v>
      </c>
      <c r="B41" t="e">
        <f>SUM(COUNTIF(#REF!,A41),COUNTIF(#REF!,A41))</f>
        <v>#REF!</v>
      </c>
      <c r="C41">
        <v>1</v>
      </c>
      <c r="D41" t="s">
        <v>452</v>
      </c>
      <c r="E41">
        <v>8</v>
      </c>
    </row>
    <row r="42" spans="1:5" x14ac:dyDescent="0.2">
      <c r="A42" s="16" t="s">
        <v>5747</v>
      </c>
      <c r="B42" t="e">
        <f>SUM(COUNTIF(#REF!,A42),COUNTIF(#REF!,A42))</f>
        <v>#REF!</v>
      </c>
      <c r="C42">
        <v>1</v>
      </c>
    </row>
    <row r="43" spans="1:5" x14ac:dyDescent="0.2">
      <c r="A43" s="22" t="s">
        <v>5748</v>
      </c>
      <c r="B43" t="e">
        <f>SUM(COUNTIF(#REF!,A43),COUNTIF(#REF!,A43))</f>
        <v>#REF!</v>
      </c>
      <c r="C43">
        <v>1</v>
      </c>
      <c r="D43" t="s">
        <v>339</v>
      </c>
      <c r="E43">
        <v>5</v>
      </c>
    </row>
    <row r="44" spans="1:5" x14ac:dyDescent="0.2">
      <c r="A44" s="17" t="s">
        <v>5749</v>
      </c>
      <c r="B44" t="e">
        <f>SUM(COUNTIF(#REF!,A44),COUNTIF(#REF!,A44))</f>
        <v>#REF!</v>
      </c>
      <c r="C44">
        <v>1</v>
      </c>
      <c r="D44" t="s">
        <v>67</v>
      </c>
      <c r="E44">
        <v>140</v>
      </c>
    </row>
    <row r="45" spans="1:5" x14ac:dyDescent="0.2">
      <c r="A45" t="s">
        <v>1518</v>
      </c>
      <c r="B45" t="e">
        <f>SUM(COUNTIF(#REF!,A45),COUNTIF(#REF!,A45))</f>
        <v>#REF!</v>
      </c>
    </row>
    <row r="46" spans="1:5" x14ac:dyDescent="0.2">
      <c r="A46" t="s">
        <v>1784</v>
      </c>
      <c r="B46" t="e">
        <f>SUM(COUNTIF(#REF!,A46),COUNTIF(#REF!,A46))</f>
        <v>#REF!</v>
      </c>
      <c r="D46" t="s">
        <v>183</v>
      </c>
      <c r="E46">
        <v>6</v>
      </c>
    </row>
    <row r="47" spans="1:5" x14ac:dyDescent="0.2">
      <c r="A47" s="4" t="s">
        <v>2127</v>
      </c>
      <c r="B47">
        <v>1</v>
      </c>
      <c r="C47">
        <v>1</v>
      </c>
    </row>
    <row r="48" spans="1:5" x14ac:dyDescent="0.2">
      <c r="A48" s="9" t="s">
        <v>402</v>
      </c>
      <c r="B48" t="e">
        <f>SUM(COUNTIF(#REF!,A48),COUNTIF(#REF!,A48))</f>
        <v>#REF!</v>
      </c>
      <c r="C48">
        <v>1</v>
      </c>
    </row>
    <row r="49" spans="1:5" x14ac:dyDescent="0.2">
      <c r="A49" t="s">
        <v>2249</v>
      </c>
      <c r="B49" t="e">
        <f>SUM(COUNTIF(#REF!,A49),COUNTIF(#REF!,A49))</f>
        <v>#REF!</v>
      </c>
      <c r="D49" t="s">
        <v>581</v>
      </c>
      <c r="E49">
        <v>13</v>
      </c>
    </row>
    <row r="50" spans="1:5" x14ac:dyDescent="0.2">
      <c r="A50" s="21" t="s">
        <v>912</v>
      </c>
      <c r="B50" t="e">
        <f>SUM(COUNTIF(#REF!,A50),COUNTIF(#REF!,A50))</f>
        <v>#REF!</v>
      </c>
      <c r="C50">
        <v>1</v>
      </c>
    </row>
    <row r="51" spans="1:5" x14ac:dyDescent="0.2">
      <c r="A51" s="4" t="s">
        <v>5750</v>
      </c>
      <c r="B51" t="e">
        <f>SUM(COUNTIF(#REF!,A51),COUNTIF(#REF!,A51))</f>
        <v>#REF!</v>
      </c>
      <c r="C51">
        <v>1</v>
      </c>
      <c r="D51" t="s">
        <v>44</v>
      </c>
      <c r="E51">
        <v>14</v>
      </c>
    </row>
    <row r="52" spans="1:5" x14ac:dyDescent="0.2">
      <c r="A52" t="s">
        <v>483</v>
      </c>
      <c r="B52" t="e">
        <f>SUM(COUNTIF(#REF!,A52),COUNTIF(#REF!,A52))</f>
        <v>#REF!</v>
      </c>
    </row>
    <row r="53" spans="1:5" x14ac:dyDescent="0.2">
      <c r="A53" t="s">
        <v>887</v>
      </c>
      <c r="B53" t="e">
        <f>SUM(COUNTIF(#REF!,A53),COUNTIF(#REF!,A53))</f>
        <v>#REF!</v>
      </c>
    </row>
    <row r="54" spans="1:5" x14ac:dyDescent="0.2">
      <c r="A54" s="17" t="s">
        <v>5751</v>
      </c>
      <c r="B54" t="e">
        <f>SUM(COUNTIF(#REF!,A54),COUNTIF(#REF!,A54))</f>
        <v>#REF!</v>
      </c>
      <c r="C54">
        <v>1</v>
      </c>
    </row>
    <row r="55" spans="1:5" x14ac:dyDescent="0.2">
      <c r="A55" s="21" t="s">
        <v>2031</v>
      </c>
      <c r="B55" t="e">
        <f>SUM(COUNTIF(#REF!,A55),COUNTIF(#REF!,A55))</f>
        <v>#REF!</v>
      </c>
      <c r="C55">
        <v>1</v>
      </c>
    </row>
    <row r="56" spans="1:5" x14ac:dyDescent="0.2">
      <c r="A56" t="s">
        <v>1947</v>
      </c>
      <c r="B56" t="e">
        <f>SUM(COUNTIF(#REF!,A56),COUNTIF(#REF!,A56))</f>
        <v>#REF!</v>
      </c>
      <c r="D56" t="s">
        <v>3019</v>
      </c>
      <c r="E56">
        <v>4</v>
      </c>
    </row>
    <row r="57" spans="1:5" x14ac:dyDescent="0.2">
      <c r="A57" t="s">
        <v>1140</v>
      </c>
      <c r="B57" t="e">
        <f>SUM(COUNTIF(#REF!,A57),COUNTIF(#REF!,A57))</f>
        <v>#REF!</v>
      </c>
      <c r="D57" t="s">
        <v>887</v>
      </c>
      <c r="E57">
        <v>3</v>
      </c>
    </row>
    <row r="58" spans="1:5" x14ac:dyDescent="0.2">
      <c r="A58" t="s">
        <v>536</v>
      </c>
      <c r="B58" t="e">
        <f>SUM(COUNTIF(#REF!,A58),COUNTIF(#REF!,A58))</f>
        <v>#REF!</v>
      </c>
    </row>
    <row r="59" spans="1:5" x14ac:dyDescent="0.2">
      <c r="A59" t="s">
        <v>3019</v>
      </c>
      <c r="B59" t="e">
        <f>SUM(COUNTIF(#REF!,A59),COUNTIF(#REF!,A59))</f>
        <v>#REF!</v>
      </c>
      <c r="D59" t="s">
        <v>873</v>
      </c>
      <c r="E59">
        <v>9</v>
      </c>
    </row>
    <row r="60" spans="1:5" x14ac:dyDescent="0.2">
      <c r="A60" s="22" t="s">
        <v>2507</v>
      </c>
      <c r="B60" t="e">
        <f>SUM(COUNTIF(#REF!,A60),COUNTIF(#REF!,A60))</f>
        <v>#REF!</v>
      </c>
      <c r="C60">
        <v>1</v>
      </c>
      <c r="D60" t="s">
        <v>79</v>
      </c>
      <c r="E60">
        <v>25</v>
      </c>
    </row>
    <row r="61" spans="1:5" x14ac:dyDescent="0.2">
      <c r="A61" t="s">
        <v>2861</v>
      </c>
      <c r="B61" t="e">
        <f>SUM(COUNTIF(#REF!,A61),COUNTIF(#REF!,A61))</f>
        <v>#REF!</v>
      </c>
      <c r="D61" t="s">
        <v>214</v>
      </c>
      <c r="E61">
        <v>30</v>
      </c>
    </row>
    <row r="62" spans="1:5" x14ac:dyDescent="0.2">
      <c r="A62" t="s">
        <v>1087</v>
      </c>
      <c r="B62" t="e">
        <f>SUM(COUNTIF(#REF!,A62),COUNTIF(#REF!,A62))</f>
        <v>#REF!</v>
      </c>
      <c r="D62" t="s">
        <v>136</v>
      </c>
      <c r="E62">
        <v>23</v>
      </c>
    </row>
    <row r="63" spans="1:5" x14ac:dyDescent="0.2">
      <c r="A63" s="7" t="s">
        <v>5752</v>
      </c>
      <c r="B63" t="e">
        <f>SUM(COUNTIF(#REF!,A63),COUNTIF(#REF!,A63))</f>
        <v>#REF!</v>
      </c>
      <c r="C63">
        <v>1</v>
      </c>
      <c r="D63" t="s">
        <v>5751</v>
      </c>
      <c r="E63">
        <v>4</v>
      </c>
    </row>
    <row r="64" spans="1:5" x14ac:dyDescent="0.2">
      <c r="A64" t="s">
        <v>325</v>
      </c>
      <c r="B64" t="e">
        <f>SUM(COUNTIF(#REF!,A64),COUNTIF(#REF!,A64))</f>
        <v>#REF!</v>
      </c>
      <c r="D64" t="s">
        <v>1061</v>
      </c>
      <c r="E64">
        <v>9</v>
      </c>
    </row>
    <row r="65" spans="1:5" x14ac:dyDescent="0.2">
      <c r="A65" t="s">
        <v>174</v>
      </c>
      <c r="B65" t="e">
        <f>SUM(COUNTIF(#REF!,A65),COUNTIF(#REF!,A65))</f>
        <v>#REF!</v>
      </c>
    </row>
    <row r="66" spans="1:5" x14ac:dyDescent="0.2">
      <c r="A66" s="13" t="s">
        <v>1053</v>
      </c>
      <c r="B66" t="e">
        <f>SUM(COUNTIF(#REF!,A66),COUNTIF(#REF!,A66))</f>
        <v>#REF!</v>
      </c>
      <c r="C66">
        <v>1</v>
      </c>
      <c r="D66" t="s">
        <v>1486</v>
      </c>
      <c r="E66">
        <v>8</v>
      </c>
    </row>
    <row r="67" spans="1:5" x14ac:dyDescent="0.2">
      <c r="A67" t="s">
        <v>452</v>
      </c>
      <c r="B67" t="e">
        <f>SUM(COUNTIF(#REF!,A67),COUNTIF(#REF!,A67))</f>
        <v>#REF!</v>
      </c>
      <c r="D67" t="s">
        <v>2507</v>
      </c>
      <c r="E67">
        <v>5</v>
      </c>
    </row>
    <row r="68" spans="1:5" x14ac:dyDescent="0.2">
      <c r="A68" t="s">
        <v>91</v>
      </c>
      <c r="B68" t="e">
        <f>SUM(COUNTIF(#REF!,A68),COUNTIF(#REF!,A68))</f>
        <v>#REF!</v>
      </c>
    </row>
    <row r="69" spans="1:5" x14ac:dyDescent="0.2">
      <c r="A69" t="s">
        <v>873</v>
      </c>
      <c r="B69" t="e">
        <f>SUM(COUNTIF(#REF!,A69),COUNTIF(#REF!,A69))</f>
        <v>#REF!</v>
      </c>
      <c r="D69" t="s">
        <v>1518</v>
      </c>
      <c r="E69">
        <v>1</v>
      </c>
    </row>
    <row r="70" spans="1:5" x14ac:dyDescent="0.2">
      <c r="A70" t="s">
        <v>1061</v>
      </c>
      <c r="B70" t="e">
        <f>SUM(COUNTIF(#REF!,A70),COUNTIF(#REF!,A70))</f>
        <v>#REF!</v>
      </c>
      <c r="D70" t="s">
        <v>46</v>
      </c>
      <c r="E70">
        <v>11</v>
      </c>
    </row>
    <row r="71" spans="1:5" x14ac:dyDescent="0.2">
      <c r="A71" s="23" t="s">
        <v>46</v>
      </c>
      <c r="B71" t="e">
        <f>SUM(COUNTIF(#REF!,A71),COUNTIF(#REF!,A71))</f>
        <v>#REF!</v>
      </c>
      <c r="C71">
        <v>1</v>
      </c>
      <c r="D71" t="s">
        <v>5750</v>
      </c>
      <c r="E71">
        <v>3</v>
      </c>
    </row>
    <row r="72" spans="1:5" x14ac:dyDescent="0.2">
      <c r="A72" s="16" t="s">
        <v>5721</v>
      </c>
      <c r="B72" t="e">
        <f>SUM(COUNTIF(#REF!,A72),COUNTIF(#REF!,A72))</f>
        <v>#REF!</v>
      </c>
      <c r="C72">
        <v>1</v>
      </c>
    </row>
    <row r="73" spans="1:5" x14ac:dyDescent="0.2">
      <c r="A73" s="24" t="s">
        <v>44</v>
      </c>
      <c r="B73" t="e">
        <f>SUM(COUNTIF(#REF!,A73),COUNTIF(#REF!,A73))</f>
        <v>#REF!</v>
      </c>
      <c r="C73">
        <v>1</v>
      </c>
    </row>
    <row r="74" spans="1:5" x14ac:dyDescent="0.2">
      <c r="A74" s="7" t="s">
        <v>980</v>
      </c>
      <c r="B74" t="e">
        <f>SUM(COUNTIF(#REF!,A74),COUNTIF(#REF!,A74))</f>
        <v>#REF!</v>
      </c>
      <c r="C74">
        <v>1</v>
      </c>
      <c r="D74" t="s">
        <v>388</v>
      </c>
      <c r="E74">
        <v>24</v>
      </c>
    </row>
    <row r="75" spans="1:5" x14ac:dyDescent="0.2">
      <c r="A75" t="s">
        <v>136</v>
      </c>
      <c r="B75" t="e">
        <f>SUM(COUNTIF(#REF!,A75),COUNTIF(#REF!,A75))</f>
        <v>#REF!</v>
      </c>
      <c r="D75" t="s">
        <v>1784</v>
      </c>
      <c r="E75">
        <v>1</v>
      </c>
    </row>
    <row r="76" spans="1:5" x14ac:dyDescent="0.2">
      <c r="A76" s="11" t="s">
        <v>388</v>
      </c>
      <c r="B76" t="e">
        <f>SUM(COUNTIF(#REF!,A76),COUNTIF(#REF!,A76))</f>
        <v>#REF!</v>
      </c>
      <c r="C76">
        <v>1</v>
      </c>
      <c r="D76" t="s">
        <v>1087</v>
      </c>
      <c r="E76">
        <v>4</v>
      </c>
    </row>
    <row r="77" spans="1:5" x14ac:dyDescent="0.2">
      <c r="A77" t="s">
        <v>2116</v>
      </c>
      <c r="B77" t="e">
        <f>SUM(COUNTIF(#REF!,A77),COUNTIF(#REF!,A77))</f>
        <v>#REF!</v>
      </c>
    </row>
    <row r="78" spans="1:5" x14ac:dyDescent="0.2">
      <c r="A78" t="s">
        <v>79</v>
      </c>
      <c r="B78" t="e">
        <f>SUM(COUNTIF(#REF!,A78),COUNTIF(#REF!,A78))</f>
        <v>#REF!</v>
      </c>
      <c r="D78" t="s">
        <v>309</v>
      </c>
      <c r="E78">
        <v>62</v>
      </c>
    </row>
    <row r="79" spans="1:5" x14ac:dyDescent="0.2">
      <c r="A79" s="9" t="s">
        <v>5753</v>
      </c>
      <c r="B79" t="e">
        <f>SUM(COUNTIF(#REF!,A79),COUNTIF(#REF!,A79))</f>
        <v>#REF!</v>
      </c>
      <c r="C79">
        <v>1</v>
      </c>
      <c r="D79" t="s">
        <v>1947</v>
      </c>
      <c r="E79">
        <v>3</v>
      </c>
    </row>
    <row r="80" spans="1:5" x14ac:dyDescent="0.2">
      <c r="A80" t="s">
        <v>156</v>
      </c>
      <c r="B80" t="e">
        <f>SUM(COUNTIF(#REF!,A80),COUNTIF(#REF!,A80))</f>
        <v>#REF!</v>
      </c>
    </row>
  </sheetData>
  <sortState xmlns:xlrd2="http://schemas.microsoft.com/office/spreadsheetml/2017/richdata2" ref="A3:E80">
    <sortCondition descending="1" ref="C1:C8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43cace5-5c2c-4d40-b76d-290164a7a230" xsi:nil="true"/>
    <lcf76f155ced4ddcb4097134ff3c332f xmlns="c13f07a9-6471-438f-9ee0-19f835c3d71c">
      <Terms xmlns="http://schemas.microsoft.com/office/infopath/2007/PartnerControls"/>
    </lcf76f155ced4ddcb4097134ff3c332f>
    <Altro xmlns="c13f07a9-6471-438f-9ee0-19f835c3d71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B3450039280D46AD5DF23AC492AD4F" ma:contentTypeVersion="19" ma:contentTypeDescription="Create a new document." ma:contentTypeScope="" ma:versionID="06a0b08494f086fb9c04e683e023e68e">
  <xsd:schema xmlns:xsd="http://www.w3.org/2001/XMLSchema" xmlns:xs="http://www.w3.org/2001/XMLSchema" xmlns:p="http://schemas.microsoft.com/office/2006/metadata/properties" xmlns:ns2="c13f07a9-6471-438f-9ee0-19f835c3d71c" xmlns:ns3="243cace5-5c2c-4d40-b76d-290164a7a230" targetNamespace="http://schemas.microsoft.com/office/2006/metadata/properties" ma:root="true" ma:fieldsID="6fc928ba2033f29f984b69b2f6fd3f36" ns2:_="" ns3:_="">
    <xsd:import namespace="c13f07a9-6471-438f-9ee0-19f835c3d71c"/>
    <xsd:import namespace="243cace5-5c2c-4d40-b76d-290164a7a2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Altro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3f07a9-6471-438f-9ee0-19f835c3d7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Altro" ma:index="17" nillable="true" ma:displayName="Altro" ma:format="Dropdown" ma:internalName="Altro">
      <xsd:simpleType>
        <xsd:restriction base="dms:Text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2f53e2d3-4249-420a-9d7c-0c96b3e105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3cace5-5c2c-4d40-b76d-290164a7a23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deefa311-5f18-4d3c-9518-46daf516ae83}" ma:internalName="TaxCatchAll" ma:showField="CatchAllData" ma:web="243cace5-5c2c-4d40-b76d-290164a7a2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0F112C-98D0-410B-9A15-ECEA66B6669B}">
  <ds:schemaRefs>
    <ds:schemaRef ds:uri="http://www.w3.org/XML/1998/namespace"/>
    <ds:schemaRef ds:uri="http://schemas.openxmlformats.org/package/2006/metadata/core-properties"/>
    <ds:schemaRef ds:uri="http://purl.org/dc/terms/"/>
    <ds:schemaRef ds:uri="http://schemas.microsoft.com/office/2006/metadata/properties"/>
    <ds:schemaRef ds:uri="c13f07a9-6471-438f-9ee0-19f835c3d71c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243cace5-5c2c-4d40-b76d-290164a7a230"/>
  </ds:schemaRefs>
</ds:datastoreItem>
</file>

<file path=customXml/itemProps2.xml><?xml version="1.0" encoding="utf-8"?>
<ds:datastoreItem xmlns:ds="http://schemas.openxmlformats.org/officeDocument/2006/customXml" ds:itemID="{CE81E6FF-518D-4374-9D45-A5FECAC4FD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3f07a9-6471-438f-9ee0-19f835c3d71c"/>
    <ds:schemaRef ds:uri="243cace5-5c2c-4d40-b76d-290164a7a2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AA7924F-F00D-416E-90AD-34583AC63CE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Alumni DB</vt:lpstr>
      <vt:lpstr>People to contact</vt:lpstr>
      <vt:lpstr>TMP</vt:lpstr>
      <vt:lpstr>Mesi</vt:lpstr>
      <vt:lpstr>Industries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Aksinia Alikberova</cp:lastModifiedBy>
  <cp:revision/>
  <dcterms:created xsi:type="dcterms:W3CDTF">2023-03-17T19:39:19Z</dcterms:created>
  <dcterms:modified xsi:type="dcterms:W3CDTF">2026-04-05T11:29:24Z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0x010100AEB3450039280D46AD5DF23AC492AD4F</vt:lpwstr>
  </property>
  <property fmtid="{D5CDD505-2E9C-101B-9397-08002B2CF9AE}" pid="3" name="MediaServiceImageTags">
    <vt:lpwstr/>
  </property>
</Properties>
</file>